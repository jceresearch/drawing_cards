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76b35523ffeb5f9/shared/"/>
    </mc:Choice>
  </mc:AlternateContent>
  <xr:revisionPtr revIDLastSave="1732" documentId="13_ncr:1_{1216FFEF-2082-4FF0-85AF-1918DEDD01C4}" xr6:coauthVersionLast="45" xr6:coauthVersionMax="45" xr10:uidLastSave="{14EF61B8-197F-4720-A4E6-A51324D22B06}"/>
  <bookViews>
    <workbookView xWindow="-120" yWindow="-120" windowWidth="29040" windowHeight="15840" activeTab="3" xr2:uid="{A5B8A865-B904-4109-B754-D7B9B5186A55}"/>
  </bookViews>
  <sheets>
    <sheet name="Words" sheetId="1" r:id="rId1"/>
    <sheet name="Card" sheetId="2" r:id="rId2"/>
    <sheet name="Deck" sheetId="3" r:id="rId3"/>
    <sheet name="Deck Static" sheetId="4" r:id="rId4"/>
  </sheets>
  <definedNames>
    <definedName name="_xlnm._FilterDatabase" localSheetId="0" hidden="1">Words!$A$1:$F$88</definedName>
    <definedName name="card">Card!$F$3:$K$8</definedName>
    <definedName name="number_of_cards">Card!$C$16</definedName>
    <definedName name="number_of_columns">Card!$C$17</definedName>
    <definedName name="wordlist">OFFSET(Words!$A$1,1,0,COUNTA(Words!$A:$A)-1,1)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F58" i="1"/>
  <c r="E81" i="1"/>
  <c r="F81" i="1"/>
  <c r="E80" i="1"/>
  <c r="F80" i="1"/>
  <c r="E96" i="1" l="1"/>
  <c r="F96" i="1"/>
  <c r="E85" i="1"/>
  <c r="F85" i="1"/>
  <c r="E84" i="1"/>
  <c r="F84" i="1"/>
  <c r="E89" i="1"/>
  <c r="F89" i="1"/>
  <c r="E18" i="1"/>
  <c r="E64" i="1"/>
  <c r="E72" i="1"/>
  <c r="E51" i="1"/>
  <c r="E2" i="1"/>
  <c r="E3" i="1"/>
  <c r="E4" i="1"/>
  <c r="E5" i="1"/>
  <c r="E6" i="1"/>
  <c r="E7" i="1"/>
  <c r="E8" i="1"/>
  <c r="E93" i="1"/>
  <c r="E9" i="1"/>
  <c r="E60" i="1"/>
  <c r="E10" i="1"/>
  <c r="E11" i="1"/>
  <c r="E13" i="1"/>
  <c r="E14" i="1"/>
  <c r="E15" i="1"/>
  <c r="E16" i="1"/>
  <c r="E17" i="1"/>
  <c r="E19" i="1"/>
  <c r="E62" i="1"/>
  <c r="E20" i="1"/>
  <c r="E21" i="1"/>
  <c r="E22" i="1"/>
  <c r="E23" i="1"/>
  <c r="E24" i="1"/>
  <c r="E25" i="1"/>
  <c r="E26" i="1"/>
  <c r="E27" i="1"/>
  <c r="E28" i="1"/>
  <c r="E29" i="1"/>
  <c r="E30" i="1"/>
  <c r="E31" i="1"/>
  <c r="E67" i="1"/>
  <c r="E94" i="1"/>
  <c r="E68" i="1"/>
  <c r="E32" i="1"/>
  <c r="E87" i="1"/>
  <c r="E33" i="1"/>
  <c r="E34" i="1"/>
  <c r="E35" i="1"/>
  <c r="E36" i="1"/>
  <c r="E37" i="1"/>
  <c r="E38" i="1"/>
  <c r="E39" i="1"/>
  <c r="E40" i="1"/>
  <c r="E41" i="1"/>
  <c r="E42" i="1"/>
  <c r="E43" i="1"/>
  <c r="E44" i="1"/>
  <c r="E74" i="1"/>
  <c r="E88" i="1"/>
  <c r="E45" i="1"/>
  <c r="E46" i="1"/>
  <c r="E47" i="1"/>
  <c r="E48" i="1"/>
  <c r="E49" i="1"/>
  <c r="E50" i="1"/>
  <c r="E52" i="1"/>
  <c r="E53" i="1"/>
  <c r="E54" i="1"/>
  <c r="E55" i="1"/>
  <c r="E56" i="1"/>
  <c r="E77" i="1"/>
  <c r="E57" i="1"/>
  <c r="E78" i="1"/>
  <c r="E79" i="1"/>
  <c r="E59" i="1"/>
  <c r="E61" i="1"/>
  <c r="E63" i="1"/>
  <c r="E86" i="1"/>
  <c r="E65" i="1"/>
  <c r="E66" i="1"/>
  <c r="E69" i="1"/>
  <c r="E70" i="1"/>
  <c r="E71" i="1"/>
  <c r="E73" i="1"/>
  <c r="E75" i="1"/>
  <c r="E76" i="1"/>
  <c r="E92" i="1"/>
  <c r="E83" i="1"/>
  <c r="E82" i="1"/>
  <c r="E95" i="1"/>
  <c r="E90" i="1"/>
  <c r="E97" i="1"/>
  <c r="E98" i="1"/>
  <c r="E91" i="1"/>
  <c r="E101" i="1"/>
  <c r="E100" i="1"/>
  <c r="E99" i="1"/>
  <c r="E12" i="1"/>
  <c r="Q1" i="1" a="1"/>
  <c r="Q1" i="1" s="1"/>
  <c r="O1" i="1" a="1"/>
  <c r="O1" i="1" s="1"/>
  <c r="M1" i="1" a="1"/>
  <c r="M1" i="1" s="1"/>
  <c r="K1" i="1" a="1"/>
  <c r="K1" i="1" s="1"/>
  <c r="F99" i="1"/>
  <c r="F101" i="1"/>
  <c r="F91" i="1"/>
  <c r="F98" i="1"/>
  <c r="F97" i="1"/>
  <c r="F90" i="1"/>
  <c r="A35" i="4" l="1"/>
  <c r="B35" i="4" s="1" a="1"/>
  <c r="B35" i="4" s="1"/>
  <c r="D35" i="4" s="1"/>
  <c r="I35" i="4" s="1"/>
  <c r="M35" i="4"/>
  <c r="N35" i="4" s="1" a="1"/>
  <c r="N35" i="4" s="1"/>
  <c r="M27" i="4"/>
  <c r="N27" i="4" s="1" a="1"/>
  <c r="N27" i="4" s="1"/>
  <c r="M18" i="4"/>
  <c r="N18" i="4" s="1" a="1"/>
  <c r="N18" i="4" s="1"/>
  <c r="M10" i="4"/>
  <c r="N10" i="4" s="1" a="1"/>
  <c r="N10" i="4" s="1"/>
  <c r="M3" i="4"/>
  <c r="N3" i="4" s="1" a="1"/>
  <c r="N3" i="4" s="1"/>
  <c r="A37" i="4"/>
  <c r="B37" i="4" s="1" a="1"/>
  <c r="B37" i="4" s="1"/>
  <c r="D37" i="4" s="1"/>
  <c r="I37" i="4" s="1"/>
  <c r="M37" i="4"/>
  <c r="N37" i="4" s="1" a="1"/>
  <c r="N37" i="4" s="1"/>
  <c r="M29" i="4"/>
  <c r="N29" i="4" s="1" a="1"/>
  <c r="N29" i="4" s="1"/>
  <c r="M20" i="4"/>
  <c r="N20" i="4" s="1" a="1"/>
  <c r="N20" i="4" s="1"/>
  <c r="M12" i="4"/>
  <c r="N12" i="4" s="1" a="1"/>
  <c r="N12" i="4" s="1"/>
  <c r="M5" i="4"/>
  <c r="N5" i="4" s="1" a="1"/>
  <c r="N5" i="4" s="1"/>
  <c r="A34" i="4"/>
  <c r="B34" i="4" s="1" a="1"/>
  <c r="B34" i="4" s="1"/>
  <c r="C34" i="4" s="1"/>
  <c r="M2" i="4"/>
  <c r="N2" i="4" s="1" a="1"/>
  <c r="N2" i="4" s="1"/>
  <c r="M34" i="4"/>
  <c r="N34" i="4" s="1" a="1"/>
  <c r="N34" i="4" s="1"/>
  <c r="M26" i="4"/>
  <c r="N26" i="4" s="1" a="1"/>
  <c r="N26" i="4" s="1"/>
  <c r="M17" i="4"/>
  <c r="N17" i="4" s="1" a="1"/>
  <c r="N17" i="4" s="1"/>
  <c r="M9" i="4"/>
  <c r="N9" i="4" s="1" a="1"/>
  <c r="N9" i="4" s="1"/>
  <c r="A36" i="4"/>
  <c r="B36" i="4" s="1" a="1"/>
  <c r="B36" i="4" s="1"/>
  <c r="C36" i="4" s="1"/>
  <c r="M36" i="4"/>
  <c r="N36" i="4" s="1" a="1"/>
  <c r="N36" i="4" s="1"/>
  <c r="M28" i="4"/>
  <c r="N28" i="4" s="1" a="1"/>
  <c r="N28" i="4" s="1"/>
  <c r="M19" i="4"/>
  <c r="N19" i="4" s="1" a="1"/>
  <c r="N19" i="4" s="1"/>
  <c r="M11" i="4"/>
  <c r="N11" i="4" s="1" a="1"/>
  <c r="N11" i="4" s="1"/>
  <c r="M4" i="4"/>
  <c r="N4" i="4" s="1" a="1"/>
  <c r="N4" i="4" s="1"/>
  <c r="H35" i="4"/>
  <c r="A18" i="4"/>
  <c r="B18" i="4" s="1" a="1"/>
  <c r="B18" i="4" s="1"/>
  <c r="D18" i="4" s="1"/>
  <c r="I18" i="4" s="1"/>
  <c r="A27" i="4"/>
  <c r="B27" i="4" s="1" a="1"/>
  <c r="B27" i="4" s="1"/>
  <c r="A20" i="4"/>
  <c r="B20" i="4" s="1" a="1"/>
  <c r="B20" i="4" s="1"/>
  <c r="D20" i="4" s="1"/>
  <c r="I20" i="4" s="1"/>
  <c r="A29" i="4"/>
  <c r="B29" i="4" s="1" a="1"/>
  <c r="B29" i="4" s="1"/>
  <c r="A17" i="4"/>
  <c r="B17" i="4" s="1" a="1"/>
  <c r="B17" i="4" s="1"/>
  <c r="C17" i="4" s="1"/>
  <c r="A26" i="4"/>
  <c r="B26" i="4" s="1" a="1"/>
  <c r="B26" i="4" s="1"/>
  <c r="A19" i="4"/>
  <c r="B19" i="4" s="1" a="1"/>
  <c r="B19" i="4" s="1"/>
  <c r="C19" i="4" s="1"/>
  <c r="A28" i="4"/>
  <c r="B28" i="4" s="1" a="1"/>
  <c r="B28" i="4" s="1"/>
  <c r="H18" i="4"/>
  <c r="A9" i="4"/>
  <c r="B9" i="4" s="1" a="1"/>
  <c r="B9" i="4" s="1"/>
  <c r="A3" i="4"/>
  <c r="B3" i="4" s="1" a="1"/>
  <c r="B3" i="4" s="1"/>
  <c r="A10" i="4"/>
  <c r="B10" i="4" s="1" a="1"/>
  <c r="B10" i="4" s="1"/>
  <c r="A5" i="4"/>
  <c r="B5" i="4" s="1" a="1"/>
  <c r="B5" i="4" s="1"/>
  <c r="A12" i="4"/>
  <c r="B12" i="4" s="1" a="1"/>
  <c r="B12" i="4" s="1"/>
  <c r="A4" i="4"/>
  <c r="B4" i="4" s="1" a="1"/>
  <c r="B4" i="4" s="1"/>
  <c r="A11" i="4"/>
  <c r="B11" i="4" s="1" a="1"/>
  <c r="B11" i="4" s="1"/>
  <c r="H3" i="4"/>
  <c r="A4" i="2"/>
  <c r="B4" i="2" s="1" a="1"/>
  <c r="B4" i="2" s="1"/>
  <c r="A2" i="4"/>
  <c r="B2" i="4" s="1" a="1"/>
  <c r="B2" i="4" s="1"/>
  <c r="A7" i="2"/>
  <c r="B7" i="2" s="1" a="1"/>
  <c r="B7" i="2" s="1"/>
  <c r="A6" i="2"/>
  <c r="B6" i="2" s="1" a="1"/>
  <c r="B6" i="2" s="1"/>
  <c r="A5" i="2"/>
  <c r="B5" i="2" s="1" a="1"/>
  <c r="B5" i="2" s="1"/>
  <c r="F6" i="1"/>
  <c r="F44" i="1"/>
  <c r="F16" i="1"/>
  <c r="F27" i="1"/>
  <c r="F67" i="1"/>
  <c r="F8" i="1"/>
  <c r="F25" i="1"/>
  <c r="F9" i="1"/>
  <c r="F4" i="1"/>
  <c r="F93" i="1"/>
  <c r="F20" i="1"/>
  <c r="F28" i="1"/>
  <c r="F15" i="1"/>
  <c r="F77" i="1"/>
  <c r="F45" i="1"/>
  <c r="F63" i="1"/>
  <c r="F86" i="1"/>
  <c r="F95" i="1"/>
  <c r="F60" i="1"/>
  <c r="F39" i="1"/>
  <c r="F32" i="1"/>
  <c r="F49" i="1"/>
  <c r="F35" i="1"/>
  <c r="F50" i="1"/>
  <c r="F52" i="1"/>
  <c r="F30" i="1"/>
  <c r="F33" i="1"/>
  <c r="F23" i="1"/>
  <c r="F48" i="1"/>
  <c r="F2" i="1"/>
  <c r="F79" i="1"/>
  <c r="F43" i="1"/>
  <c r="F87" i="1"/>
  <c r="F11" i="1"/>
  <c r="F24" i="1"/>
  <c r="F62" i="1"/>
  <c r="F29" i="1"/>
  <c r="F73" i="1"/>
  <c r="F17" i="1"/>
  <c r="F71" i="1"/>
  <c r="F100" i="1"/>
  <c r="F53" i="1"/>
  <c r="F3" i="1"/>
  <c r="F55" i="1"/>
  <c r="F92" i="1"/>
  <c r="F54" i="1"/>
  <c r="F83" i="1"/>
  <c r="F34" i="1"/>
  <c r="F61" i="1"/>
  <c r="F47" i="1"/>
  <c r="F65" i="1"/>
  <c r="F46" i="1"/>
  <c r="F57" i="1"/>
  <c r="F37" i="1"/>
  <c r="F38" i="1"/>
  <c r="F94" i="1"/>
  <c r="F31" i="1"/>
  <c r="F22" i="1"/>
  <c r="F36" i="1"/>
  <c r="F21" i="1"/>
  <c r="F5" i="1"/>
  <c r="F26" i="1"/>
  <c r="F40" i="1"/>
  <c r="F68" i="1"/>
  <c r="F42" i="1"/>
  <c r="F7" i="1"/>
  <c r="F74" i="1"/>
  <c r="F66" i="1"/>
  <c r="F51" i="1"/>
  <c r="F12" i="1"/>
  <c r="F82" i="1"/>
  <c r="F70" i="1"/>
  <c r="F72" i="1"/>
  <c r="F64" i="1"/>
  <c r="F69" i="1"/>
  <c r="F13" i="1"/>
  <c r="F59" i="1"/>
  <c r="F75" i="1"/>
  <c r="F78" i="1"/>
  <c r="F41" i="1"/>
  <c r="F10" i="1"/>
  <c r="F56" i="1"/>
  <c r="F76" i="1"/>
  <c r="F14" i="1"/>
  <c r="F19" i="1"/>
  <c r="F88" i="1"/>
  <c r="F18" i="1"/>
  <c r="H37" i="4" l="1"/>
  <c r="G34" i="4"/>
  <c r="G35" i="4"/>
  <c r="G37" i="4"/>
  <c r="G17" i="4"/>
  <c r="G19" i="4"/>
  <c r="H20" i="4"/>
  <c r="G36" i="4"/>
  <c r="H19" i="4"/>
  <c r="H17" i="4"/>
  <c r="G20" i="4"/>
  <c r="G18" i="4"/>
  <c r="H36" i="4"/>
  <c r="H34" i="4"/>
  <c r="D19" i="4"/>
  <c r="I19" i="4" s="1"/>
  <c r="J19" i="4" s="1"/>
  <c r="D17" i="4"/>
  <c r="I17" i="4" s="1"/>
  <c r="J17" i="4" s="1"/>
  <c r="C20" i="4"/>
  <c r="J20" i="4" s="1"/>
  <c r="C18" i="4"/>
  <c r="J18" i="4" s="1"/>
  <c r="D36" i="4"/>
  <c r="I36" i="4" s="1"/>
  <c r="J36" i="4" s="1"/>
  <c r="D34" i="4"/>
  <c r="I34" i="4" s="1"/>
  <c r="J34" i="4" s="1"/>
  <c r="C37" i="4"/>
  <c r="J37" i="4" s="1"/>
  <c r="C35" i="4"/>
  <c r="J35" i="4" s="1"/>
  <c r="T2" i="4"/>
  <c r="P2" i="4"/>
  <c r="S2" i="4"/>
  <c r="O2" i="4"/>
  <c r="C4" i="4"/>
  <c r="S4" i="4"/>
  <c r="O4" i="4"/>
  <c r="P4" i="4"/>
  <c r="T4" i="4"/>
  <c r="D5" i="4"/>
  <c r="I5" i="4" s="1"/>
  <c r="T5" i="4"/>
  <c r="P5" i="4"/>
  <c r="O5" i="4"/>
  <c r="S5" i="4"/>
  <c r="D3" i="4"/>
  <c r="I3" i="4" s="1"/>
  <c r="T3" i="4"/>
  <c r="P3" i="4"/>
  <c r="S3" i="4"/>
  <c r="O3" i="4"/>
  <c r="O28" i="4"/>
  <c r="P28" i="4"/>
  <c r="U28" i="4" s="1"/>
  <c r="O26" i="4"/>
  <c r="P26" i="4"/>
  <c r="U26" i="4" s="1"/>
  <c r="P29" i="4"/>
  <c r="U29" i="4" s="1"/>
  <c r="O29" i="4"/>
  <c r="P27" i="4"/>
  <c r="U27" i="4" s="1"/>
  <c r="O27" i="4"/>
  <c r="S19" i="4"/>
  <c r="T19" i="4"/>
  <c r="S36" i="4"/>
  <c r="T36" i="4"/>
  <c r="S9" i="4"/>
  <c r="T9" i="4"/>
  <c r="S26" i="4"/>
  <c r="T26" i="4"/>
  <c r="T20" i="4"/>
  <c r="S20" i="4"/>
  <c r="T37" i="4"/>
  <c r="S37" i="4"/>
  <c r="T18" i="4"/>
  <c r="S18" i="4"/>
  <c r="T35" i="4"/>
  <c r="S35" i="4"/>
  <c r="O11" i="4"/>
  <c r="P11" i="4"/>
  <c r="U11" i="4" s="1"/>
  <c r="P12" i="4"/>
  <c r="U12" i="4" s="1"/>
  <c r="O12" i="4"/>
  <c r="P10" i="4"/>
  <c r="U10" i="4" s="1"/>
  <c r="O10" i="4"/>
  <c r="H9" i="4"/>
  <c r="O9" i="4"/>
  <c r="P9" i="4"/>
  <c r="U9" i="4" s="1"/>
  <c r="O19" i="4"/>
  <c r="P19" i="4"/>
  <c r="U19" i="4" s="1"/>
  <c r="O17" i="4"/>
  <c r="P17" i="4"/>
  <c r="U17" i="4" s="1"/>
  <c r="P20" i="4"/>
  <c r="U20" i="4" s="1"/>
  <c r="O20" i="4"/>
  <c r="P18" i="4"/>
  <c r="U18" i="4" s="1"/>
  <c r="O18" i="4"/>
  <c r="S11" i="4"/>
  <c r="T11" i="4"/>
  <c r="S28" i="4"/>
  <c r="T28" i="4"/>
  <c r="O36" i="4"/>
  <c r="P36" i="4"/>
  <c r="U36" i="4" s="1"/>
  <c r="S17" i="4"/>
  <c r="T17" i="4"/>
  <c r="S34" i="4"/>
  <c r="T34" i="4"/>
  <c r="O34" i="4"/>
  <c r="P34" i="4"/>
  <c r="U34" i="4" s="1"/>
  <c r="T12" i="4"/>
  <c r="S12" i="4"/>
  <c r="T29" i="4"/>
  <c r="S29" i="4"/>
  <c r="P37" i="4"/>
  <c r="U37" i="4" s="1"/>
  <c r="O37" i="4"/>
  <c r="T10" i="4"/>
  <c r="S10" i="4"/>
  <c r="T27" i="4"/>
  <c r="S27" i="4"/>
  <c r="P35" i="4"/>
  <c r="U35" i="4" s="1"/>
  <c r="O35" i="4"/>
  <c r="G28" i="4"/>
  <c r="C28" i="4"/>
  <c r="H28" i="4"/>
  <c r="D28" i="4"/>
  <c r="I28" i="4" s="1"/>
  <c r="G26" i="4"/>
  <c r="C26" i="4"/>
  <c r="H26" i="4"/>
  <c r="D26" i="4"/>
  <c r="I26" i="4" s="1"/>
  <c r="H29" i="4"/>
  <c r="D29" i="4"/>
  <c r="I29" i="4" s="1"/>
  <c r="G29" i="4"/>
  <c r="C29" i="4"/>
  <c r="J29" i="4" s="1"/>
  <c r="H27" i="4"/>
  <c r="D27" i="4"/>
  <c r="I27" i="4" s="1"/>
  <c r="G27" i="4"/>
  <c r="C27" i="4"/>
  <c r="J27" i="4" s="1"/>
  <c r="G11" i="4"/>
  <c r="H11" i="4"/>
  <c r="G12" i="4"/>
  <c r="H12" i="4"/>
  <c r="G10" i="4"/>
  <c r="H10" i="4"/>
  <c r="C9" i="4"/>
  <c r="G9" i="4"/>
  <c r="G4" i="4"/>
  <c r="H5" i="4"/>
  <c r="H4" i="4"/>
  <c r="G5" i="4"/>
  <c r="G3" i="4"/>
  <c r="D4" i="4"/>
  <c r="I4" i="4" s="1"/>
  <c r="C5" i="4"/>
  <c r="C3" i="4"/>
  <c r="D9" i="4"/>
  <c r="I9" i="4" s="1"/>
  <c r="C11" i="4"/>
  <c r="D11" i="4"/>
  <c r="I11" i="4" s="1"/>
  <c r="D12" i="4"/>
  <c r="I12" i="4" s="1"/>
  <c r="C12" i="4"/>
  <c r="D10" i="4"/>
  <c r="I10" i="4" s="1"/>
  <c r="C10" i="4"/>
  <c r="G2" i="4"/>
  <c r="C2" i="4"/>
  <c r="H2" i="4"/>
  <c r="D2" i="4"/>
  <c r="I2" i="4" s="1"/>
  <c r="D6" i="2"/>
  <c r="I6" i="2" s="1"/>
  <c r="D5" i="2"/>
  <c r="I5" i="2" s="1"/>
  <c r="C4" i="2"/>
  <c r="C7" i="2"/>
  <c r="D7" i="2"/>
  <c r="I7" i="2" s="1"/>
  <c r="H7" i="2"/>
  <c r="V35" i="4" l="1"/>
  <c r="V37" i="4"/>
  <c r="V18" i="4"/>
  <c r="V20" i="4"/>
  <c r="V11" i="4"/>
  <c r="V26" i="4"/>
  <c r="V28" i="4"/>
  <c r="J4" i="4"/>
  <c r="U4" i="4"/>
  <c r="V4" i="4" s="1"/>
  <c r="U5" i="4"/>
  <c r="V5" i="4" s="1"/>
  <c r="U2" i="4"/>
  <c r="V2" i="4" s="1"/>
  <c r="V34" i="4"/>
  <c r="V36" i="4"/>
  <c r="V17" i="4"/>
  <c r="V19" i="4"/>
  <c r="V9" i="4"/>
  <c r="V10" i="4"/>
  <c r="V12" i="4"/>
  <c r="V27" i="4"/>
  <c r="V29" i="4"/>
  <c r="U3" i="4"/>
  <c r="V3" i="4" s="1"/>
  <c r="J26" i="4"/>
  <c r="J28" i="4"/>
  <c r="J9" i="4"/>
  <c r="J3" i="4"/>
  <c r="J5" i="4"/>
  <c r="J10" i="4"/>
  <c r="J12" i="4"/>
  <c r="J2" i="4"/>
  <c r="J11" i="4"/>
  <c r="J7" i="2"/>
  <c r="D4" i="2"/>
  <c r="I4" i="2" s="1"/>
  <c r="J4" i="2" s="1"/>
  <c r="H6" i="2"/>
  <c r="H4" i="2"/>
  <c r="C6" i="2"/>
  <c r="J6" i="2" s="1"/>
  <c r="H5" i="2"/>
  <c r="C5" i="2"/>
  <c r="J5" i="2" s="1"/>
  <c r="G7" i="2"/>
  <c r="G6" i="2"/>
  <c r="G5" i="2"/>
  <c r="G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<sst xmlns="http://schemas.openxmlformats.org/spreadsheetml/2006/main" count="1367" uniqueCount="260">
  <si>
    <t>cup</t>
  </si>
  <si>
    <t>tea</t>
  </si>
  <si>
    <t>cake</t>
  </si>
  <si>
    <t>owl</t>
  </si>
  <si>
    <t>glasses</t>
  </si>
  <si>
    <t>penguin</t>
  </si>
  <si>
    <t>orange juice</t>
  </si>
  <si>
    <t>carrot</t>
  </si>
  <si>
    <t>broccoli</t>
  </si>
  <si>
    <t>spaghetti</t>
  </si>
  <si>
    <t>van</t>
  </si>
  <si>
    <t>scooter</t>
  </si>
  <si>
    <t>bus</t>
  </si>
  <si>
    <t>truck</t>
  </si>
  <si>
    <t>swan</t>
  </si>
  <si>
    <t>cat</t>
  </si>
  <si>
    <t>dog</t>
  </si>
  <si>
    <t>castle</t>
  </si>
  <si>
    <t>flag</t>
  </si>
  <si>
    <t>princess</t>
  </si>
  <si>
    <t>fairy</t>
  </si>
  <si>
    <t>ball</t>
  </si>
  <si>
    <t>gloves</t>
  </si>
  <si>
    <t>scarf</t>
  </si>
  <si>
    <t>monkey</t>
  </si>
  <si>
    <t>sea</t>
  </si>
  <si>
    <t>boat</t>
  </si>
  <si>
    <t>ship</t>
  </si>
  <si>
    <t>island</t>
  </si>
  <si>
    <t>doll</t>
  </si>
  <si>
    <t>heart</t>
  </si>
  <si>
    <t>rabbit</t>
  </si>
  <si>
    <t>crown</t>
  </si>
  <si>
    <t>pear</t>
  </si>
  <si>
    <t>tomato</t>
  </si>
  <si>
    <t>apple</t>
  </si>
  <si>
    <t>tree</t>
  </si>
  <si>
    <t>train</t>
  </si>
  <si>
    <t>bridge</t>
  </si>
  <si>
    <t>plane</t>
  </si>
  <si>
    <t>spade</t>
  </si>
  <si>
    <t>horse</t>
  </si>
  <si>
    <t>snow man</t>
  </si>
  <si>
    <t>umbrella</t>
  </si>
  <si>
    <t>rain</t>
  </si>
  <si>
    <t>mole</t>
  </si>
  <si>
    <t>ladybird</t>
  </si>
  <si>
    <t>fly</t>
  </si>
  <si>
    <t>butterfly</t>
  </si>
  <si>
    <t>bed</t>
  </si>
  <si>
    <t>mouse</t>
  </si>
  <si>
    <t>sheep</t>
  </si>
  <si>
    <t>cow</t>
  </si>
  <si>
    <t>hair</t>
  </si>
  <si>
    <t>mermaid</t>
  </si>
  <si>
    <t>boot</t>
  </si>
  <si>
    <t>girl</t>
  </si>
  <si>
    <t>boy</t>
  </si>
  <si>
    <t>baby</t>
  </si>
  <si>
    <t>bouncy ball</t>
  </si>
  <si>
    <t>duck</t>
  </si>
  <si>
    <t>hat</t>
  </si>
  <si>
    <t>cloud</t>
  </si>
  <si>
    <t>turtle</t>
  </si>
  <si>
    <t>snake</t>
  </si>
  <si>
    <t>fox</t>
  </si>
  <si>
    <t>hedgehog</t>
  </si>
  <si>
    <t>piano</t>
  </si>
  <si>
    <t>bubbles</t>
  </si>
  <si>
    <t>rocket</t>
  </si>
  <si>
    <t>moon</t>
  </si>
  <si>
    <t>planet</t>
  </si>
  <si>
    <t>sweet</t>
  </si>
  <si>
    <t>teddy bear</t>
  </si>
  <si>
    <t>icecream</t>
  </si>
  <si>
    <t>pig</t>
  </si>
  <si>
    <t>flower</t>
  </si>
  <si>
    <t>spider</t>
  </si>
  <si>
    <t>ant</t>
  </si>
  <si>
    <t>worm</t>
  </si>
  <si>
    <t>Word</t>
  </si>
  <si>
    <t>Duplicate</t>
  </si>
  <si>
    <t>Point Drawing</t>
  </si>
  <si>
    <t>watermelon</t>
  </si>
  <si>
    <t>backpack</t>
  </si>
  <si>
    <t>Advanced</t>
  </si>
  <si>
    <t>toddler</t>
  </si>
  <si>
    <t>wind</t>
  </si>
  <si>
    <t>spring</t>
  </si>
  <si>
    <t>summer</t>
  </si>
  <si>
    <t>autumm</t>
  </si>
  <si>
    <t>winter</t>
  </si>
  <si>
    <t>storm</t>
  </si>
  <si>
    <t>composter</t>
  </si>
  <si>
    <t>bridge troll</t>
  </si>
  <si>
    <t>puppy</t>
  </si>
  <si>
    <t>… stop</t>
  </si>
  <si>
    <t>Extra</t>
  </si>
  <si>
    <t>easter rabbit</t>
  </si>
  <si>
    <t>treasure island</t>
  </si>
  <si>
    <t>Columns</t>
  </si>
  <si>
    <t>Cards per col</t>
  </si>
  <si>
    <t>rainbow</t>
  </si>
  <si>
    <t>star</t>
  </si>
  <si>
    <t>treasure</t>
  </si>
  <si>
    <t>ant hill</t>
  </si>
  <si>
    <t>ballerina</t>
  </si>
  <si>
    <t>see-saw</t>
  </si>
  <si>
    <t>water slide</t>
  </si>
  <si>
    <t>spaceship</t>
  </si>
  <si>
    <t>sea turtle</t>
  </si>
  <si>
    <t>... of coffee</t>
  </si>
  <si>
    <t>Length</t>
  </si>
  <si>
    <t>sleeping</t>
  </si>
  <si>
    <t>snoring</t>
  </si>
  <si>
    <t>… station</t>
  </si>
  <si>
    <t>rocking horse</t>
  </si>
  <si>
    <t>sleeping beauty</t>
  </si>
  <si>
    <t>fine prize cow</t>
  </si>
  <si>
    <t>..godmother</t>
  </si>
  <si>
    <t>christmas</t>
  </si>
  <si>
    <t>shooting star</t>
  </si>
  <si>
    <t>computer</t>
  </si>
  <si>
    <t>ipad</t>
  </si>
  <si>
    <t>stickman house</t>
  </si>
  <si>
    <t>crescent moon</t>
  </si>
  <si>
    <t>... from a country</t>
  </si>
  <si>
    <t>peter rabbit</t>
  </si>
  <si>
    <t>Belle and the Beast</t>
  </si>
  <si>
    <t>saturn</t>
  </si>
  <si>
    <t>solar system</t>
  </si>
  <si>
    <t>BUTTON HERE (IF YOU OPEN IN THE APP)</t>
  </si>
  <si>
    <t>For extra points:</t>
  </si>
  <si>
    <t/>
  </si>
  <si>
    <t>Worm</t>
  </si>
  <si>
    <t>Composter</t>
  </si>
  <si>
    <t>Sleeping</t>
  </si>
  <si>
    <t>Sleeping beauty</t>
  </si>
  <si>
    <t>Summer</t>
  </si>
  <si>
    <t>Castle</t>
  </si>
  <si>
    <t>Storm</t>
  </si>
  <si>
    <t>Wind</t>
  </si>
  <si>
    <t>Cow</t>
  </si>
  <si>
    <t>Fine prize cow</t>
  </si>
  <si>
    <t>Rabbit</t>
  </si>
  <si>
    <t>Peter rabbit</t>
  </si>
  <si>
    <t>Computer</t>
  </si>
  <si>
    <t>Ipad</t>
  </si>
  <si>
    <t>Autumm</t>
  </si>
  <si>
    <t>See-saw</t>
  </si>
  <si>
    <t>Water slide</t>
  </si>
  <si>
    <t>Hedgehog</t>
  </si>
  <si>
    <t>Solar system</t>
  </si>
  <si>
    <t>Snow man</t>
  </si>
  <si>
    <t>Fox</t>
  </si>
  <si>
    <t>Owl</t>
  </si>
  <si>
    <t>Mole</t>
  </si>
  <si>
    <t>Planet</t>
  </si>
  <si>
    <t>Saturn</t>
  </si>
  <si>
    <t>Turtle</t>
  </si>
  <si>
    <t>Sea turtle</t>
  </si>
  <si>
    <t>Piano</t>
  </si>
  <si>
    <t>Pear</t>
  </si>
  <si>
    <t>Easter rabbit</t>
  </si>
  <si>
    <t>Mermaid</t>
  </si>
  <si>
    <t>Winter</t>
  </si>
  <si>
    <t>Christmas</t>
  </si>
  <si>
    <t>Bed</t>
  </si>
  <si>
    <t>Ballerina</t>
  </si>
  <si>
    <t>Island</t>
  </si>
  <si>
    <t>Treasure island</t>
  </si>
  <si>
    <t>Mouse</t>
  </si>
  <si>
    <t>Star</t>
  </si>
  <si>
    <t>Shooting star</t>
  </si>
  <si>
    <t>Doll</t>
  </si>
  <si>
    <t>Bouncy ball</t>
  </si>
  <si>
    <t>Fly</t>
  </si>
  <si>
    <t>Snoring</t>
  </si>
  <si>
    <t>Cup</t>
  </si>
  <si>
    <t>Monkey</t>
  </si>
  <si>
    <t>Watermelon</t>
  </si>
  <si>
    <t>Rainbow</t>
  </si>
  <si>
    <t>Boot</t>
  </si>
  <si>
    <t>Penguin</t>
  </si>
  <si>
    <t>Sea</t>
  </si>
  <si>
    <t>Rain</t>
  </si>
  <si>
    <t>Bridge</t>
  </si>
  <si>
    <t>Bridge troll</t>
  </si>
  <si>
    <t>Backpack</t>
  </si>
  <si>
    <t>Broccoli</t>
  </si>
  <si>
    <t>Sweet</t>
  </si>
  <si>
    <t>Glasses</t>
  </si>
  <si>
    <t>Girl</t>
  </si>
  <si>
    <t>Swan</t>
  </si>
  <si>
    <t>Spider</t>
  </si>
  <si>
    <t>Teddy bear</t>
  </si>
  <si>
    <t>Bubbles</t>
  </si>
  <si>
    <t>Bus</t>
  </si>
  <si>
    <t>Rocket</t>
  </si>
  <si>
    <t>Spaceship</t>
  </si>
  <si>
    <t>Spring</t>
  </si>
  <si>
    <t>Cake</t>
  </si>
  <si>
    <t>Orange juice</t>
  </si>
  <si>
    <t>Flower</t>
  </si>
  <si>
    <t>Treasure</t>
  </si>
  <si>
    <t>Apple</t>
  </si>
  <si>
    <t>Spade</t>
  </si>
  <si>
    <t>Icecream</t>
  </si>
  <si>
    <t>Boy</t>
  </si>
  <si>
    <t>Tea</t>
  </si>
  <si>
    <t>Belle and the beast</t>
  </si>
  <si>
    <t>Pig</t>
  </si>
  <si>
    <t>Ladybird</t>
  </si>
  <si>
    <t>Ship</t>
  </si>
  <si>
    <t>Ferry</t>
  </si>
  <si>
    <t>Horse</t>
  </si>
  <si>
    <t>Rocking horse</t>
  </si>
  <si>
    <t>Crown</t>
  </si>
  <si>
    <t>Truck</t>
  </si>
  <si>
    <t>Train</t>
  </si>
  <si>
    <t>Boat</t>
  </si>
  <si>
    <t>Moon</t>
  </si>
  <si>
    <t>Crescent moon</t>
  </si>
  <si>
    <t>Scarf</t>
  </si>
  <si>
    <t xml:space="preserve"> +1</t>
  </si>
  <si>
    <t>slide</t>
  </si>
  <si>
    <t>waves</t>
  </si>
  <si>
    <t>… with ribbons</t>
  </si>
  <si>
    <t>bike</t>
  </si>
  <si>
    <t>cycling fast</t>
  </si>
  <si>
    <t>car</t>
  </si>
  <si>
    <t>racing car</t>
  </si>
  <si>
    <t>Gloves</t>
  </si>
  <si>
    <t>Ball</t>
  </si>
  <si>
    <t>Sheep</t>
  </si>
  <si>
    <t>Cloud</t>
  </si>
  <si>
    <t>Plane</t>
  </si>
  <si>
    <t>Carrot</t>
  </si>
  <si>
    <t>Waves</t>
  </si>
  <si>
    <t>Slide</t>
  </si>
  <si>
    <t>Scooter</t>
  </si>
  <si>
    <t>Baby</t>
  </si>
  <si>
    <t>Toddler</t>
  </si>
  <si>
    <t>Fairy</t>
  </si>
  <si>
    <t>Spaghetti</t>
  </si>
  <si>
    <t>Bike</t>
  </si>
  <si>
    <t>Cycling fast</t>
  </si>
  <si>
    <t>Flag</t>
  </si>
  <si>
    <t>Heart</t>
  </si>
  <si>
    <t>Tomato</t>
  </si>
  <si>
    <t>Hat</t>
  </si>
  <si>
    <t>Hair</t>
  </si>
  <si>
    <t>Cat</t>
  </si>
  <si>
    <t>pirate ship</t>
  </si>
  <si>
    <t>peppa pig</t>
  </si>
  <si>
    <t>the Queen</t>
  </si>
  <si>
    <t>Points</t>
  </si>
  <si>
    <t>Words</t>
  </si>
  <si>
    <t>Extra Points</t>
  </si>
  <si>
    <t>Extra 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</si>
</sst>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11"/>
      <color theme="1"/>
      <name val="Pws"/>
    </font>
    <font>
      <sz val="11"/>
      <color theme="1"/>
      <name val="Sch"/>
    </font>
    <font>
      <sz val="28"/>
      <color theme="1"/>
      <name val="Letters for Learners"/>
    </font>
    <font>
      <sz val="11"/>
      <color rgb="FF000000"/>
      <name val="Calibri"/>
      <family val="2"/>
    </font>
    <font>
      <b/>
      <sz val="28"/>
      <color theme="1"/>
      <name val="Letters for Learners"/>
    </font>
    <font>
      <sz val="24"/>
      <color theme="1"/>
      <name val="Letters for Learners"/>
    </font>
    <font>
      <sz val="24"/>
      <color theme="1"/>
      <name val="Calibri"/>
      <family val="2"/>
      <scheme val="minor"/>
    </font>
    <font>
      <sz val="24"/>
      <color theme="1"/>
      <name val="PWSchoolScript"/>
      <family val="4"/>
    </font>
    <font>
      <b/>
      <sz val="11"/>
      <color theme="1"/>
      <name val="Calibri"/>
      <family val="2"/>
      <scheme val="minor"/>
    </font>
    <font>
      <sz val="11"/>
      <color theme="1"/>
      <name val="Letters for Learners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1" xfId="0" applyFont="1" applyFill="1" applyBorder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0" fillId="0" borderId="2" xfId="0" applyBorder="1"/>
    <xf numFmtId="0" fontId="3" fillId="0" borderId="3" xfId="0" applyFont="1" applyBorder="1"/>
    <xf numFmtId="0" fontId="0" fillId="0" borderId="4" xfId="0" applyBorder="1"/>
    <xf numFmtId="0" fontId="0" fillId="0" borderId="5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/>
    <xf numFmtId="0" fontId="0" fillId="0" borderId="9" xfId="0" applyBorder="1"/>
    <xf numFmtId="0" fontId="0" fillId="0" borderId="0" xfId="0" applyBorder="1" applyAlignment="1">
      <alignment vertical="center"/>
    </xf>
    <xf numFmtId="0" fontId="0" fillId="0" borderId="0" xfId="0" applyBorder="1"/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5" fillId="0" borderId="3" xfId="0" quotePrefix="1" applyFont="1" applyBorder="1"/>
    <xf numFmtId="0" fontId="6" fillId="0" borderId="0" xfId="0" applyFont="1" applyBorder="1" applyAlignment="1">
      <alignment vertical="center"/>
    </xf>
    <xf numFmtId="0" fontId="7" fillId="0" borderId="8" xfId="0" applyFont="1" applyBorder="1" applyAlignment="1">
      <alignment horizontal="left"/>
    </xf>
    <xf numFmtId="0" fontId="8" fillId="0" borderId="8" xfId="0" applyFont="1" applyBorder="1"/>
    <xf numFmtId="49" fontId="6" fillId="0" borderId="0" xfId="0" applyNumberFormat="1" applyFont="1" applyBorder="1" applyAlignment="1">
      <alignment horizontal="left" vertic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10" fillId="0" borderId="0" xfId="0" applyFont="1" applyBorder="1" applyAlignment="1">
      <alignment horizontal="left"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14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10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vertical="center"/>
    </xf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6" fillId="0" borderId="0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133350</xdr:rowOff>
        </xdr:from>
        <xdr:to>
          <xdr:col>4</xdr:col>
          <xdr:colOff>123825</xdr:colOff>
          <xdr:row>15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D513-E831-48B3-AFDC-85D54347B7A1}">
  <sheetPr codeName="Sheet1"/>
  <dimension ref="A1:Q101"/>
  <sheetViews>
    <sheetView workbookViewId="0">
      <selection activeCell="D26" sqref="D26"/>
    </sheetView>
  </sheetViews>
  <sheetFormatPr defaultRowHeight="15"/>
  <cols>
    <col min="1" max="1" width="13.85546875" customWidth="1"/>
    <col min="2" max="2" width="10.28515625" customWidth="1"/>
    <col min="3" max="3" width="20" customWidth="1"/>
    <col min="4" max="5" width="17" customWidth="1"/>
    <col min="11" max="11" width="17.85546875" customWidth="1"/>
    <col min="13" max="13" width="17.85546875" customWidth="1"/>
    <col min="15" max="15" width="17.85546875" customWidth="1"/>
    <col min="17" max="17" width="17.85546875" customWidth="1"/>
  </cols>
  <sheetData>
    <row r="1" spans="1:17">
      <c r="A1" t="s">
        <v>80</v>
      </c>
      <c r="B1" t="s">
        <v>82</v>
      </c>
      <c r="C1" t="s">
        <v>85</v>
      </c>
      <c r="D1" t="s">
        <v>97</v>
      </c>
      <c r="E1" t="s">
        <v>112</v>
      </c>
      <c r="F1" t="s">
        <v>81</v>
      </c>
      <c r="J1">
        <v>1</v>
      </c>
      <c r="K1" s="1" t="str" cm="1">
        <f t="array" aca="1" ref="K1:K51" ca="1">_xlfn._xlws.FILTER(wordlist,OFFSET(wordlist,0,1)=J$1,"No Results")</f>
        <v>ant</v>
      </c>
      <c r="L1">
        <v>2</v>
      </c>
      <c r="M1" s="1" t="str" cm="1">
        <f t="array" aca="1" ref="M1:M25" ca="1">_xlfn._xlws.FILTER(wordlist,OFFSET(wordlist,0,1)=L$1,"No Results")</f>
        <v>fairy</v>
      </c>
      <c r="N1">
        <v>3</v>
      </c>
      <c r="O1" s="1" t="str" cm="1">
        <f t="array" aca="1" ref="O1:O13" ca="1">_xlfn._xlws.FILTER(wordlist,OFFSET(wordlist,0,1)=N$1,"No Results")</f>
        <v>see-saw</v>
      </c>
      <c r="P1">
        <v>4</v>
      </c>
      <c r="Q1" s="1" t="str" cm="1">
        <f t="array" aca="1" ref="Q1:Q11" ca="1">_xlfn._xlws.FILTER(wordlist,OFFSET(wordlist,0,1)=P$1,"No Results")</f>
        <v>autumm</v>
      </c>
    </row>
    <row r="2" spans="1:17">
      <c r="A2" t="s">
        <v>78</v>
      </c>
      <c r="B2">
        <v>1</v>
      </c>
      <c r="C2" t="s">
        <v>105</v>
      </c>
      <c r="E2">
        <f t="shared" ref="E2:E33" si="0">LEN(A2)</f>
        <v>3</v>
      </c>
      <c r="F2" t="str">
        <f t="shared" ref="F2:F33" si="1">IF(COUNTIF(A:A,A2)&gt;1,"DUPLICATE","ok")</f>
        <v>ok</v>
      </c>
      <c r="K2" t="str">
        <f ca="1"/>
        <v>apple</v>
      </c>
      <c r="M2" t="str">
        <f ca="1"/>
        <v>gloves</v>
      </c>
      <c r="O2" t="str">
        <f ca="1"/>
        <v>horse</v>
      </c>
      <c r="Q2" t="str">
        <f ca="1"/>
        <v>backpack</v>
      </c>
    </row>
    <row r="3" spans="1:17">
      <c r="A3" t="s">
        <v>35</v>
      </c>
      <c r="B3">
        <v>1</v>
      </c>
      <c r="E3">
        <f t="shared" si="0"/>
        <v>5</v>
      </c>
      <c r="F3" t="str">
        <f t="shared" si="1"/>
        <v>ok</v>
      </c>
      <c r="K3" t="str">
        <f ca="1"/>
        <v>baby</v>
      </c>
      <c r="M3" t="str">
        <f ca="1"/>
        <v>icecream</v>
      </c>
      <c r="O3" t="str">
        <f ca="1"/>
        <v>mermaid</v>
      </c>
      <c r="Q3" t="str">
        <f ca="1"/>
        <v>bouncy ball</v>
      </c>
    </row>
    <row r="4" spans="1:17">
      <c r="A4" t="s">
        <v>58</v>
      </c>
      <c r="B4">
        <v>1</v>
      </c>
      <c r="C4" t="s">
        <v>86</v>
      </c>
      <c r="E4">
        <f t="shared" si="0"/>
        <v>4</v>
      </c>
      <c r="F4" t="str">
        <f t="shared" si="1"/>
        <v>ok</v>
      </c>
      <c r="K4" t="str">
        <f ca="1"/>
        <v>ball</v>
      </c>
      <c r="M4" t="str">
        <f ca="1"/>
        <v>snake</v>
      </c>
      <c r="O4" t="str">
        <f ca="1"/>
        <v>van</v>
      </c>
      <c r="Q4" t="str">
        <f ca="1"/>
        <v>mole</v>
      </c>
    </row>
    <row r="5" spans="1:17">
      <c r="A5" t="s">
        <v>21</v>
      </c>
      <c r="B5">
        <v>1</v>
      </c>
      <c r="E5">
        <f t="shared" si="0"/>
        <v>4</v>
      </c>
      <c r="F5" t="str">
        <f t="shared" si="1"/>
        <v>ok</v>
      </c>
      <c r="K5" t="str">
        <f ca="1"/>
        <v>bed</v>
      </c>
      <c r="M5" t="str">
        <f ca="1"/>
        <v>sweet</v>
      </c>
      <c r="O5" t="str">
        <f ca="1"/>
        <v>ballerina</v>
      </c>
      <c r="Q5" t="str">
        <f ca="1"/>
        <v>piano</v>
      </c>
    </row>
    <row r="6" spans="1:17">
      <c r="A6" t="s">
        <v>49</v>
      </c>
      <c r="B6">
        <v>1</v>
      </c>
      <c r="E6">
        <f t="shared" si="0"/>
        <v>3</v>
      </c>
      <c r="F6" t="str">
        <f t="shared" si="1"/>
        <v>ok</v>
      </c>
      <c r="K6" t="str">
        <f ca="1"/>
        <v>boat</v>
      </c>
      <c r="M6" t="str">
        <f ca="1"/>
        <v>broccoli</v>
      </c>
      <c r="O6" t="str">
        <f ca="1"/>
        <v>bridge</v>
      </c>
      <c r="Q6" t="str">
        <f ca="1"/>
        <v>solar system</v>
      </c>
    </row>
    <row r="7" spans="1:17">
      <c r="A7" t="s">
        <v>26</v>
      </c>
      <c r="B7">
        <v>1</v>
      </c>
      <c r="E7">
        <f t="shared" si="0"/>
        <v>4</v>
      </c>
      <c r="F7" t="str">
        <f t="shared" si="1"/>
        <v>ok</v>
      </c>
      <c r="K7" t="str">
        <f ca="1"/>
        <v>boot</v>
      </c>
      <c r="M7" t="str">
        <f ca="1"/>
        <v>bubbles</v>
      </c>
      <c r="O7" t="str">
        <f ca="1"/>
        <v>computer</v>
      </c>
      <c r="Q7" t="str">
        <f ca="1"/>
        <v>spring</v>
      </c>
    </row>
    <row r="8" spans="1:17">
      <c r="A8" t="s">
        <v>55</v>
      </c>
      <c r="B8">
        <v>1</v>
      </c>
      <c r="E8">
        <f t="shared" si="0"/>
        <v>4</v>
      </c>
      <c r="F8" t="str">
        <f t="shared" si="1"/>
        <v>ok</v>
      </c>
      <c r="K8" t="str">
        <f ca="1"/>
        <v>boy</v>
      </c>
      <c r="M8" t="str">
        <f ca="1"/>
        <v>castle</v>
      </c>
      <c r="O8" t="str">
        <f ca="1"/>
        <v>easter rabbit</v>
      </c>
      <c r="Q8" t="str">
        <f ca="1"/>
        <v>summer</v>
      </c>
    </row>
    <row r="9" spans="1:17">
      <c r="A9" t="s">
        <v>57</v>
      </c>
      <c r="B9">
        <v>1</v>
      </c>
      <c r="E9">
        <f t="shared" si="0"/>
        <v>3</v>
      </c>
      <c r="F9" t="str">
        <f t="shared" si="1"/>
        <v>ok</v>
      </c>
      <c r="K9" t="str">
        <f ca="1"/>
        <v>bus</v>
      </c>
      <c r="M9" t="str">
        <f ca="1"/>
        <v>doll</v>
      </c>
      <c r="O9" t="str">
        <f ca="1"/>
        <v>hedgehog</v>
      </c>
      <c r="Q9" t="str">
        <f ca="1"/>
        <v>treasure</v>
      </c>
    </row>
    <row r="10" spans="1:17">
      <c r="A10" t="s">
        <v>12</v>
      </c>
      <c r="B10">
        <v>1</v>
      </c>
      <c r="C10" t="s">
        <v>96</v>
      </c>
      <c r="E10">
        <f t="shared" si="0"/>
        <v>3</v>
      </c>
      <c r="F10" t="str">
        <f t="shared" si="1"/>
        <v>ok</v>
      </c>
      <c r="K10" t="str">
        <f ca="1"/>
        <v>butterfly</v>
      </c>
      <c r="M10" t="str">
        <f ca="1"/>
        <v>fox</v>
      </c>
      <c r="O10" t="str">
        <f ca="1"/>
        <v>mouse</v>
      </c>
      <c r="Q10" t="str">
        <f ca="1"/>
        <v>watermelon</v>
      </c>
    </row>
    <row r="11" spans="1:17">
      <c r="A11" t="s">
        <v>48</v>
      </c>
      <c r="B11">
        <v>1</v>
      </c>
      <c r="E11">
        <f t="shared" si="0"/>
        <v>9</v>
      </c>
      <c r="F11" t="str">
        <f t="shared" si="1"/>
        <v>ok</v>
      </c>
      <c r="K11" t="str">
        <f ca="1"/>
        <v>cake</v>
      </c>
      <c r="M11" t="str">
        <f ca="1"/>
        <v>glasses</v>
      </c>
      <c r="O11" t="str">
        <f ca="1"/>
        <v>sleeping</v>
      </c>
      <c r="Q11" t="str">
        <f ca="1"/>
        <v>winter</v>
      </c>
    </row>
    <row r="12" spans="1:17">
      <c r="A12" t="s">
        <v>2</v>
      </c>
      <c r="B12">
        <v>1</v>
      </c>
      <c r="E12">
        <f t="shared" si="0"/>
        <v>4</v>
      </c>
      <c r="F12" t="str">
        <f t="shared" si="1"/>
        <v>ok</v>
      </c>
      <c r="K12" t="str">
        <f ca="1"/>
        <v>carrot</v>
      </c>
      <c r="M12" t="str">
        <f ca="1"/>
        <v>island</v>
      </c>
      <c r="O12" t="str">
        <f ca="1"/>
        <v>snoring</v>
      </c>
    </row>
    <row r="13" spans="1:17">
      <c r="A13" t="s">
        <v>7</v>
      </c>
      <c r="B13">
        <v>1</v>
      </c>
      <c r="E13">
        <f t="shared" si="0"/>
        <v>6</v>
      </c>
      <c r="F13" t="str">
        <f t="shared" si="1"/>
        <v>ok</v>
      </c>
      <c r="K13" t="str">
        <f ca="1"/>
        <v>cat</v>
      </c>
      <c r="M13" t="str">
        <f ca="1"/>
        <v>monkey</v>
      </c>
      <c r="O13" t="str">
        <f ca="1"/>
        <v>storm</v>
      </c>
    </row>
    <row r="14" spans="1:17">
      <c r="A14" t="s">
        <v>15</v>
      </c>
      <c r="B14">
        <v>1</v>
      </c>
      <c r="E14">
        <f t="shared" si="0"/>
        <v>3</v>
      </c>
      <c r="F14" t="str">
        <f t="shared" si="1"/>
        <v>ok</v>
      </c>
      <c r="K14" t="str">
        <f ca="1"/>
        <v>cloud</v>
      </c>
      <c r="M14" t="str">
        <f ca="1"/>
        <v>orange juice</v>
      </c>
    </row>
    <row r="15" spans="1:17">
      <c r="A15" t="s">
        <v>62</v>
      </c>
      <c r="B15">
        <v>1</v>
      </c>
      <c r="E15">
        <f t="shared" si="0"/>
        <v>5</v>
      </c>
      <c r="F15" t="str">
        <f t="shared" si="1"/>
        <v>ok</v>
      </c>
      <c r="K15" t="str">
        <f ca="1"/>
        <v>cow</v>
      </c>
      <c r="M15" t="str">
        <f ca="1"/>
        <v>owl</v>
      </c>
    </row>
    <row r="16" spans="1:17">
      <c r="A16" t="s">
        <v>52</v>
      </c>
      <c r="B16">
        <v>1</v>
      </c>
      <c r="C16" t="s">
        <v>118</v>
      </c>
      <c r="E16">
        <f t="shared" si="0"/>
        <v>3</v>
      </c>
      <c r="F16" t="str">
        <f t="shared" si="1"/>
        <v>ok</v>
      </c>
      <c r="K16" t="str">
        <f ca="1"/>
        <v>crown</v>
      </c>
      <c r="M16" t="str">
        <f ca="1"/>
        <v>pear</v>
      </c>
    </row>
    <row r="17" spans="1:13">
      <c r="A17" t="s">
        <v>32</v>
      </c>
      <c r="B17">
        <v>1</v>
      </c>
      <c r="C17" t="s">
        <v>255</v>
      </c>
      <c r="D17">
        <v>3</v>
      </c>
      <c r="E17">
        <f t="shared" si="0"/>
        <v>5</v>
      </c>
      <c r="F17" t="str">
        <f t="shared" si="1"/>
        <v>ok</v>
      </c>
      <c r="K17" t="str">
        <f ca="1"/>
        <v>cup</v>
      </c>
      <c r="M17" t="str">
        <f ca="1"/>
        <v>penguin</v>
      </c>
    </row>
    <row r="18" spans="1:13">
      <c r="A18" t="s">
        <v>0</v>
      </c>
      <c r="B18">
        <v>1</v>
      </c>
      <c r="C18" t="s">
        <v>111</v>
      </c>
      <c r="E18">
        <f t="shared" si="0"/>
        <v>3</v>
      </c>
      <c r="F18" t="str">
        <f t="shared" si="1"/>
        <v>ok</v>
      </c>
      <c r="K18" t="str">
        <f ca="1"/>
        <v>dog</v>
      </c>
      <c r="M18" t="str">
        <f ca="1"/>
        <v>rabbit</v>
      </c>
    </row>
    <row r="19" spans="1:13">
      <c r="A19" t="s">
        <v>16</v>
      </c>
      <c r="B19">
        <v>1</v>
      </c>
      <c r="C19" t="s">
        <v>95</v>
      </c>
      <c r="E19">
        <f t="shared" si="0"/>
        <v>3</v>
      </c>
      <c r="F19" t="str">
        <f t="shared" si="1"/>
        <v>ok</v>
      </c>
      <c r="K19" t="str">
        <f ca="1"/>
        <v>duck</v>
      </c>
      <c r="M19" t="str">
        <f ca="1"/>
        <v>ship</v>
      </c>
    </row>
    <row r="20" spans="1:13">
      <c r="A20" t="s">
        <v>60</v>
      </c>
      <c r="B20">
        <v>1</v>
      </c>
      <c r="E20">
        <f t="shared" si="0"/>
        <v>4</v>
      </c>
      <c r="F20" t="str">
        <f t="shared" si="1"/>
        <v>ok</v>
      </c>
      <c r="K20" t="str">
        <f ca="1"/>
        <v>flag</v>
      </c>
      <c r="M20" t="str">
        <f ca="1"/>
        <v>spaghetti</v>
      </c>
    </row>
    <row r="21" spans="1:13">
      <c r="A21" t="s">
        <v>20</v>
      </c>
      <c r="B21">
        <v>2</v>
      </c>
      <c r="C21" t="s">
        <v>119</v>
      </c>
      <c r="E21">
        <f t="shared" si="0"/>
        <v>5</v>
      </c>
      <c r="F21" t="str">
        <f t="shared" si="1"/>
        <v>ok</v>
      </c>
      <c r="K21" t="str">
        <f ca="1"/>
        <v>flower</v>
      </c>
      <c r="M21" t="str">
        <f ca="1"/>
        <v>swan</v>
      </c>
    </row>
    <row r="22" spans="1:13">
      <c r="A22" t="s">
        <v>18</v>
      </c>
      <c r="B22">
        <v>1</v>
      </c>
      <c r="C22" t="s">
        <v>126</v>
      </c>
      <c r="E22">
        <f t="shared" si="0"/>
        <v>4</v>
      </c>
      <c r="F22" t="str">
        <f t="shared" si="1"/>
        <v>ok</v>
      </c>
      <c r="K22" t="str">
        <f ca="1"/>
        <v>fly</v>
      </c>
      <c r="M22" t="str">
        <f ca="1"/>
        <v>turtle</v>
      </c>
    </row>
    <row r="23" spans="1:13">
      <c r="A23" t="s">
        <v>76</v>
      </c>
      <c r="B23">
        <v>1</v>
      </c>
      <c r="E23">
        <f t="shared" si="0"/>
        <v>6</v>
      </c>
      <c r="F23" t="str">
        <f t="shared" si="1"/>
        <v>ok</v>
      </c>
      <c r="K23" t="str">
        <f ca="1"/>
        <v>girl</v>
      </c>
      <c r="M23" t="str">
        <f ca="1"/>
        <v>worm</v>
      </c>
    </row>
    <row r="24" spans="1:13">
      <c r="A24" t="s">
        <v>47</v>
      </c>
      <c r="B24">
        <v>1</v>
      </c>
      <c r="E24">
        <f t="shared" si="0"/>
        <v>3</v>
      </c>
      <c r="F24" t="str">
        <f t="shared" si="1"/>
        <v>ok</v>
      </c>
      <c r="K24" t="str">
        <f ca="1"/>
        <v>hair</v>
      </c>
      <c r="M24" t="str">
        <f ca="1"/>
        <v>slide</v>
      </c>
    </row>
    <row r="25" spans="1:13">
      <c r="A25" t="s">
        <v>56</v>
      </c>
      <c r="B25">
        <v>1</v>
      </c>
      <c r="E25">
        <f t="shared" si="0"/>
        <v>4</v>
      </c>
      <c r="F25" t="str">
        <f t="shared" si="1"/>
        <v>ok</v>
      </c>
      <c r="K25" t="str">
        <f ca="1"/>
        <v>hat</v>
      </c>
      <c r="M25" t="str">
        <f ca="1"/>
        <v>bike</v>
      </c>
    </row>
    <row r="26" spans="1:13">
      <c r="A26" t="s">
        <v>22</v>
      </c>
      <c r="B26">
        <v>2</v>
      </c>
      <c r="E26">
        <f t="shared" si="0"/>
        <v>6</v>
      </c>
      <c r="F26" t="str">
        <f t="shared" si="1"/>
        <v>ok</v>
      </c>
      <c r="K26" t="str">
        <f ca="1"/>
        <v>heart</v>
      </c>
    </row>
    <row r="27" spans="1:13">
      <c r="A27" t="s">
        <v>53</v>
      </c>
      <c r="B27">
        <v>1</v>
      </c>
      <c r="E27">
        <f t="shared" si="0"/>
        <v>4</v>
      </c>
      <c r="F27" t="str">
        <f t="shared" si="1"/>
        <v>ok</v>
      </c>
      <c r="K27" t="str">
        <f ca="1"/>
        <v>ladybird</v>
      </c>
    </row>
    <row r="28" spans="1:13">
      <c r="A28" t="s">
        <v>61</v>
      </c>
      <c r="B28">
        <v>1</v>
      </c>
      <c r="E28">
        <f t="shared" si="0"/>
        <v>3</v>
      </c>
      <c r="F28" t="str">
        <f t="shared" si="1"/>
        <v>ok</v>
      </c>
      <c r="K28" t="str">
        <f ca="1"/>
        <v>moon</v>
      </c>
    </row>
    <row r="29" spans="1:13">
      <c r="A29" t="s">
        <v>30</v>
      </c>
      <c r="B29">
        <v>1</v>
      </c>
      <c r="E29">
        <f t="shared" si="0"/>
        <v>5</v>
      </c>
      <c r="F29" t="str">
        <f t="shared" si="1"/>
        <v>ok</v>
      </c>
      <c r="K29" t="str">
        <f ca="1"/>
        <v>pig</v>
      </c>
    </row>
    <row r="30" spans="1:13">
      <c r="A30" t="s">
        <v>74</v>
      </c>
      <c r="B30">
        <v>2</v>
      </c>
      <c r="E30">
        <f t="shared" si="0"/>
        <v>8</v>
      </c>
      <c r="F30" t="str">
        <f t="shared" si="1"/>
        <v>ok</v>
      </c>
      <c r="K30" t="str">
        <f ca="1"/>
        <v>plane</v>
      </c>
    </row>
    <row r="31" spans="1:13">
      <c r="A31" t="s">
        <v>46</v>
      </c>
      <c r="B31">
        <v>1</v>
      </c>
      <c r="E31">
        <f t="shared" si="0"/>
        <v>8</v>
      </c>
      <c r="F31" t="str">
        <f t="shared" si="1"/>
        <v>ok</v>
      </c>
      <c r="K31" t="str">
        <f ca="1"/>
        <v>planet</v>
      </c>
    </row>
    <row r="32" spans="1:13">
      <c r="A32" t="s">
        <v>70</v>
      </c>
      <c r="B32">
        <v>1</v>
      </c>
      <c r="C32" t="s">
        <v>125</v>
      </c>
      <c r="E32">
        <f t="shared" si="0"/>
        <v>4</v>
      </c>
      <c r="F32" t="str">
        <f t="shared" si="1"/>
        <v>ok</v>
      </c>
      <c r="K32" t="str">
        <f ca="1"/>
        <v>princess</v>
      </c>
    </row>
    <row r="33" spans="1:11">
      <c r="A33" t="s">
        <v>75</v>
      </c>
      <c r="B33">
        <v>1</v>
      </c>
      <c r="C33" t="s">
        <v>254</v>
      </c>
      <c r="E33">
        <f t="shared" si="0"/>
        <v>3</v>
      </c>
      <c r="F33" t="str">
        <f t="shared" si="1"/>
        <v>ok</v>
      </c>
      <c r="K33" t="str">
        <f ca="1"/>
        <v>rain</v>
      </c>
    </row>
    <row r="34" spans="1:11">
      <c r="A34" t="s">
        <v>39</v>
      </c>
      <c r="B34">
        <v>1</v>
      </c>
      <c r="E34">
        <f t="shared" ref="E34:E65" si="2">LEN(A34)</f>
        <v>5</v>
      </c>
      <c r="F34" t="str">
        <f t="shared" ref="F34:F65" si="3">IF(COUNTIF(A:A,A34)&gt;1,"DUPLICATE","ok")</f>
        <v>ok</v>
      </c>
      <c r="K34" t="str">
        <f ca="1"/>
        <v>rainbow</v>
      </c>
    </row>
    <row r="35" spans="1:11">
      <c r="A35" t="s">
        <v>71</v>
      </c>
      <c r="B35">
        <v>1</v>
      </c>
      <c r="C35" t="s">
        <v>129</v>
      </c>
      <c r="E35">
        <f t="shared" si="2"/>
        <v>6</v>
      </c>
      <c r="F35" t="str">
        <f t="shared" si="3"/>
        <v>ok</v>
      </c>
      <c r="K35" t="str">
        <f ca="1"/>
        <v>rocket</v>
      </c>
    </row>
    <row r="36" spans="1:11">
      <c r="A36" t="s">
        <v>19</v>
      </c>
      <c r="B36">
        <v>1</v>
      </c>
      <c r="E36">
        <f t="shared" si="2"/>
        <v>8</v>
      </c>
      <c r="F36" t="str">
        <f t="shared" si="3"/>
        <v>ok</v>
      </c>
      <c r="K36" t="str">
        <f ca="1"/>
        <v>scarf</v>
      </c>
    </row>
    <row r="37" spans="1:11">
      <c r="A37" t="s">
        <v>44</v>
      </c>
      <c r="B37">
        <v>1</v>
      </c>
      <c r="E37">
        <f t="shared" si="2"/>
        <v>4</v>
      </c>
      <c r="F37" t="str">
        <f t="shared" si="3"/>
        <v>ok</v>
      </c>
      <c r="K37" t="str">
        <f ca="1"/>
        <v>scooter</v>
      </c>
    </row>
    <row r="38" spans="1:11">
      <c r="A38" t="s">
        <v>102</v>
      </c>
      <c r="B38">
        <v>1</v>
      </c>
      <c r="E38">
        <f t="shared" si="2"/>
        <v>7</v>
      </c>
      <c r="F38" t="str">
        <f t="shared" si="3"/>
        <v>ok</v>
      </c>
      <c r="K38" t="str">
        <f ca="1"/>
        <v>sea</v>
      </c>
    </row>
    <row r="39" spans="1:11">
      <c r="A39" t="s">
        <v>69</v>
      </c>
      <c r="B39">
        <v>1</v>
      </c>
      <c r="C39" t="s">
        <v>109</v>
      </c>
      <c r="E39">
        <f t="shared" si="2"/>
        <v>6</v>
      </c>
      <c r="F39" t="str">
        <f t="shared" si="3"/>
        <v>ok</v>
      </c>
      <c r="K39" t="str">
        <f ca="1"/>
        <v>sheep</v>
      </c>
    </row>
    <row r="40" spans="1:11">
      <c r="A40" t="s">
        <v>23</v>
      </c>
      <c r="B40">
        <v>1</v>
      </c>
      <c r="E40">
        <f t="shared" si="2"/>
        <v>5</v>
      </c>
      <c r="F40" t="str">
        <f t="shared" si="3"/>
        <v>ok</v>
      </c>
      <c r="K40" t="str">
        <f ca="1"/>
        <v>snow man</v>
      </c>
    </row>
    <row r="41" spans="1:11">
      <c r="A41" t="s">
        <v>11</v>
      </c>
      <c r="B41">
        <v>1</v>
      </c>
      <c r="C41" t="s">
        <v>227</v>
      </c>
      <c r="E41">
        <f t="shared" si="2"/>
        <v>7</v>
      </c>
      <c r="F41" t="str">
        <f t="shared" si="3"/>
        <v>ok</v>
      </c>
      <c r="K41" t="str">
        <f ca="1"/>
        <v>spade</v>
      </c>
    </row>
    <row r="42" spans="1:11">
      <c r="A42" t="s">
        <v>25</v>
      </c>
      <c r="B42">
        <v>1</v>
      </c>
      <c r="C42" t="s">
        <v>226</v>
      </c>
      <c r="E42">
        <f t="shared" si="2"/>
        <v>3</v>
      </c>
      <c r="F42" t="str">
        <f t="shared" si="3"/>
        <v>ok</v>
      </c>
      <c r="K42" t="str">
        <f ca="1"/>
        <v>spider</v>
      </c>
    </row>
    <row r="43" spans="1:11">
      <c r="A43" t="s">
        <v>107</v>
      </c>
      <c r="B43">
        <v>3</v>
      </c>
      <c r="E43">
        <f t="shared" si="2"/>
        <v>7</v>
      </c>
      <c r="F43" t="str">
        <f t="shared" si="3"/>
        <v>ok</v>
      </c>
      <c r="K43" t="str">
        <f ca="1"/>
        <v>star</v>
      </c>
    </row>
    <row r="44" spans="1:11">
      <c r="A44" t="s">
        <v>51</v>
      </c>
      <c r="B44">
        <v>1</v>
      </c>
      <c r="E44">
        <f t="shared" si="2"/>
        <v>5</v>
      </c>
      <c r="F44" t="str">
        <f t="shared" si="3"/>
        <v>ok</v>
      </c>
      <c r="K44" t="str">
        <f ca="1"/>
        <v>tea</v>
      </c>
    </row>
    <row r="45" spans="1:11">
      <c r="A45" t="s">
        <v>64</v>
      </c>
      <c r="B45">
        <v>2</v>
      </c>
      <c r="E45">
        <f t="shared" si="2"/>
        <v>5</v>
      </c>
      <c r="F45" t="str">
        <f t="shared" si="3"/>
        <v>ok</v>
      </c>
      <c r="K45" t="str">
        <f ca="1"/>
        <v>teddy bear</v>
      </c>
    </row>
    <row r="46" spans="1:11">
      <c r="A46" t="s">
        <v>42</v>
      </c>
      <c r="B46">
        <v>1</v>
      </c>
      <c r="E46">
        <f t="shared" si="2"/>
        <v>8</v>
      </c>
      <c r="F46" t="str">
        <f t="shared" si="3"/>
        <v>ok</v>
      </c>
      <c r="K46" t="str">
        <f ca="1"/>
        <v>tomato</v>
      </c>
    </row>
    <row r="47" spans="1:11">
      <c r="A47" t="s">
        <v>40</v>
      </c>
      <c r="B47">
        <v>1</v>
      </c>
      <c r="E47">
        <f t="shared" si="2"/>
        <v>5</v>
      </c>
      <c r="F47" t="str">
        <f t="shared" si="3"/>
        <v>ok</v>
      </c>
      <c r="K47" t="str">
        <f ca="1"/>
        <v>train</v>
      </c>
    </row>
    <row r="48" spans="1:11">
      <c r="A48" t="s">
        <v>77</v>
      </c>
      <c r="B48">
        <v>1</v>
      </c>
      <c r="E48">
        <f t="shared" si="2"/>
        <v>6</v>
      </c>
      <c r="F48" t="str">
        <f t="shared" si="3"/>
        <v>ok</v>
      </c>
      <c r="K48" t="str">
        <f ca="1"/>
        <v>tree</v>
      </c>
    </row>
    <row r="49" spans="1:11">
      <c r="A49" t="s">
        <v>103</v>
      </c>
      <c r="B49">
        <v>1</v>
      </c>
      <c r="C49" t="s">
        <v>121</v>
      </c>
      <c r="E49">
        <f t="shared" si="2"/>
        <v>4</v>
      </c>
      <c r="F49" t="str">
        <f t="shared" si="3"/>
        <v>ok</v>
      </c>
      <c r="K49" t="str">
        <f ca="1"/>
        <v>truck</v>
      </c>
    </row>
    <row r="50" spans="1:11">
      <c r="A50" t="s">
        <v>72</v>
      </c>
      <c r="B50">
        <v>2</v>
      </c>
      <c r="E50">
        <f t="shared" si="2"/>
        <v>5</v>
      </c>
      <c r="F50" t="str">
        <f t="shared" si="3"/>
        <v>ok</v>
      </c>
      <c r="K50" t="str">
        <f ca="1"/>
        <v>umbrella</v>
      </c>
    </row>
    <row r="51" spans="1:11">
      <c r="A51" t="s">
        <v>1</v>
      </c>
      <c r="B51">
        <v>1</v>
      </c>
      <c r="C51" t="s">
        <v>128</v>
      </c>
      <c r="E51">
        <f t="shared" si="2"/>
        <v>3</v>
      </c>
      <c r="F51" t="str">
        <f t="shared" si="3"/>
        <v>ok</v>
      </c>
      <c r="K51" t="str">
        <f ca="1"/>
        <v>car</v>
      </c>
    </row>
    <row r="52" spans="1:11">
      <c r="A52" t="s">
        <v>73</v>
      </c>
      <c r="B52">
        <v>1</v>
      </c>
      <c r="E52">
        <f t="shared" si="2"/>
        <v>10</v>
      </c>
      <c r="F52" t="str">
        <f t="shared" si="3"/>
        <v>ok</v>
      </c>
    </row>
    <row r="53" spans="1:11">
      <c r="A53" t="s">
        <v>34</v>
      </c>
      <c r="B53">
        <v>1</v>
      </c>
      <c r="E53">
        <f t="shared" si="2"/>
        <v>6</v>
      </c>
      <c r="F53" t="str">
        <f t="shared" si="3"/>
        <v>ok</v>
      </c>
    </row>
    <row r="54" spans="1:11">
      <c r="A54" t="s">
        <v>37</v>
      </c>
      <c r="B54">
        <v>1</v>
      </c>
      <c r="C54" t="s">
        <v>115</v>
      </c>
      <c r="E54">
        <f t="shared" si="2"/>
        <v>5</v>
      </c>
      <c r="F54" t="str">
        <f t="shared" si="3"/>
        <v>ok</v>
      </c>
    </row>
    <row r="55" spans="1:11">
      <c r="A55" t="s">
        <v>36</v>
      </c>
      <c r="B55">
        <v>1</v>
      </c>
      <c r="C55" t="s">
        <v>124</v>
      </c>
      <c r="E55">
        <f t="shared" si="2"/>
        <v>4</v>
      </c>
      <c r="F55" t="str">
        <f t="shared" si="3"/>
        <v>ok</v>
      </c>
    </row>
    <row r="56" spans="1:11">
      <c r="A56" t="s">
        <v>13</v>
      </c>
      <c r="B56">
        <v>1</v>
      </c>
      <c r="E56">
        <f t="shared" si="2"/>
        <v>5</v>
      </c>
      <c r="F56" t="str">
        <f t="shared" si="3"/>
        <v>ok</v>
      </c>
    </row>
    <row r="57" spans="1:11">
      <c r="A57" t="s">
        <v>43</v>
      </c>
      <c r="B57">
        <v>1</v>
      </c>
      <c r="E57">
        <f t="shared" si="2"/>
        <v>8</v>
      </c>
      <c r="F57" t="str">
        <f t="shared" si="3"/>
        <v>ok</v>
      </c>
    </row>
    <row r="58" spans="1:11">
      <c r="A58" t="s">
        <v>230</v>
      </c>
      <c r="B58">
        <v>1</v>
      </c>
      <c r="C58" t="s">
        <v>231</v>
      </c>
      <c r="E58">
        <f t="shared" si="2"/>
        <v>3</v>
      </c>
      <c r="F58" t="str">
        <f t="shared" si="3"/>
        <v>ok</v>
      </c>
    </row>
    <row r="59" spans="1:11">
      <c r="A59" t="s">
        <v>8</v>
      </c>
      <c r="B59">
        <v>2</v>
      </c>
      <c r="E59">
        <f t="shared" si="2"/>
        <v>8</v>
      </c>
      <c r="F59" t="str">
        <f t="shared" si="3"/>
        <v>ok</v>
      </c>
    </row>
    <row r="60" spans="1:11">
      <c r="A60" t="s">
        <v>68</v>
      </c>
      <c r="B60">
        <v>2</v>
      </c>
      <c r="E60">
        <f t="shared" si="2"/>
        <v>7</v>
      </c>
      <c r="F60" t="str">
        <f t="shared" si="3"/>
        <v>ok</v>
      </c>
    </row>
    <row r="61" spans="1:11">
      <c r="A61" t="s">
        <v>17</v>
      </c>
      <c r="B61">
        <v>2</v>
      </c>
      <c r="E61">
        <f t="shared" si="2"/>
        <v>6</v>
      </c>
      <c r="F61" t="str">
        <f t="shared" si="3"/>
        <v>ok</v>
      </c>
    </row>
    <row r="62" spans="1:11">
      <c r="A62" t="s">
        <v>29</v>
      </c>
      <c r="B62">
        <v>2</v>
      </c>
      <c r="E62">
        <f t="shared" si="2"/>
        <v>4</v>
      </c>
      <c r="F62" t="str">
        <f t="shared" si="3"/>
        <v>ok</v>
      </c>
    </row>
    <row r="63" spans="1:11">
      <c r="A63" t="s">
        <v>65</v>
      </c>
      <c r="B63">
        <v>2</v>
      </c>
      <c r="E63">
        <f t="shared" si="2"/>
        <v>3</v>
      </c>
      <c r="F63" t="str">
        <f t="shared" si="3"/>
        <v>ok</v>
      </c>
    </row>
    <row r="64" spans="1:11">
      <c r="A64" t="s">
        <v>4</v>
      </c>
      <c r="B64">
        <v>2</v>
      </c>
      <c r="E64">
        <f t="shared" si="2"/>
        <v>7</v>
      </c>
      <c r="F64" t="str">
        <f t="shared" si="3"/>
        <v>ok</v>
      </c>
    </row>
    <row r="65" spans="1:6">
      <c r="A65" t="s">
        <v>41</v>
      </c>
      <c r="B65">
        <v>3</v>
      </c>
      <c r="C65" t="s">
        <v>116</v>
      </c>
      <c r="E65">
        <f t="shared" si="2"/>
        <v>5</v>
      </c>
      <c r="F65" t="str">
        <f t="shared" si="3"/>
        <v>ok</v>
      </c>
    </row>
    <row r="66" spans="1:6">
      <c r="A66" t="s">
        <v>28</v>
      </c>
      <c r="B66">
        <v>2</v>
      </c>
      <c r="C66" t="s">
        <v>99</v>
      </c>
      <c r="E66">
        <f t="shared" ref="E66:E101" si="4">LEN(A66)</f>
        <v>6</v>
      </c>
      <c r="F66" t="str">
        <f t="shared" ref="F66:F101" si="5">IF(COUNTIF(A:A,A66)&gt;1,"DUPLICATE","ok")</f>
        <v>ok</v>
      </c>
    </row>
    <row r="67" spans="1:6">
      <c r="A67" t="s">
        <v>54</v>
      </c>
      <c r="B67">
        <v>3</v>
      </c>
      <c r="E67">
        <f t="shared" si="4"/>
        <v>7</v>
      </c>
      <c r="F67" t="str">
        <f t="shared" si="5"/>
        <v>ok</v>
      </c>
    </row>
    <row r="68" spans="1:6">
      <c r="A68" t="s">
        <v>24</v>
      </c>
      <c r="B68">
        <v>2</v>
      </c>
      <c r="E68">
        <f t="shared" si="4"/>
        <v>6</v>
      </c>
      <c r="F68" t="str">
        <f t="shared" si="5"/>
        <v>ok</v>
      </c>
    </row>
    <row r="69" spans="1:6">
      <c r="A69" t="s">
        <v>6</v>
      </c>
      <c r="B69">
        <v>2</v>
      </c>
      <c r="E69">
        <f t="shared" si="4"/>
        <v>12</v>
      </c>
      <c r="F69" t="str">
        <f t="shared" si="5"/>
        <v>ok</v>
      </c>
    </row>
    <row r="70" spans="1:6">
      <c r="A70" t="s">
        <v>3</v>
      </c>
      <c r="B70">
        <v>2</v>
      </c>
      <c r="E70">
        <f t="shared" si="4"/>
        <v>3</v>
      </c>
      <c r="F70" t="str">
        <f t="shared" si="5"/>
        <v>ok</v>
      </c>
    </row>
    <row r="71" spans="1:6">
      <c r="A71" t="s">
        <v>33</v>
      </c>
      <c r="B71">
        <v>2</v>
      </c>
      <c r="E71">
        <f t="shared" si="4"/>
        <v>4</v>
      </c>
      <c r="F71" t="str">
        <f t="shared" si="5"/>
        <v>ok</v>
      </c>
    </row>
    <row r="72" spans="1:6">
      <c r="A72" t="s">
        <v>5</v>
      </c>
      <c r="B72">
        <v>2</v>
      </c>
      <c r="E72">
        <f t="shared" si="4"/>
        <v>7</v>
      </c>
      <c r="F72" t="str">
        <f t="shared" si="5"/>
        <v>ok</v>
      </c>
    </row>
    <row r="73" spans="1:6">
      <c r="A73" t="s">
        <v>31</v>
      </c>
      <c r="B73">
        <v>2</v>
      </c>
      <c r="C73" t="s">
        <v>127</v>
      </c>
      <c r="E73">
        <f t="shared" si="4"/>
        <v>6</v>
      </c>
      <c r="F73" t="str">
        <f t="shared" si="5"/>
        <v>ok</v>
      </c>
    </row>
    <row r="74" spans="1:6">
      <c r="A74" t="s">
        <v>27</v>
      </c>
      <c r="B74">
        <v>2</v>
      </c>
      <c r="C74" t="s">
        <v>253</v>
      </c>
      <c r="E74">
        <f t="shared" si="4"/>
        <v>4</v>
      </c>
      <c r="F74" t="str">
        <f t="shared" si="5"/>
        <v>ok</v>
      </c>
    </row>
    <row r="75" spans="1:6">
      <c r="A75" t="s">
        <v>9</v>
      </c>
      <c r="B75">
        <v>2</v>
      </c>
      <c r="E75">
        <f t="shared" si="4"/>
        <v>9</v>
      </c>
      <c r="F75" t="str">
        <f t="shared" si="5"/>
        <v>ok</v>
      </c>
    </row>
    <row r="76" spans="1:6">
      <c r="A76" t="s">
        <v>14</v>
      </c>
      <c r="B76">
        <v>2</v>
      </c>
      <c r="E76">
        <f t="shared" si="4"/>
        <v>4</v>
      </c>
      <c r="F76" t="str">
        <f t="shared" si="5"/>
        <v>ok</v>
      </c>
    </row>
    <row r="77" spans="1:6">
      <c r="A77" t="s">
        <v>63</v>
      </c>
      <c r="B77">
        <v>2</v>
      </c>
      <c r="C77" t="s">
        <v>110</v>
      </c>
      <c r="E77">
        <f t="shared" si="4"/>
        <v>6</v>
      </c>
      <c r="F77" t="str">
        <f t="shared" si="5"/>
        <v>ok</v>
      </c>
    </row>
    <row r="78" spans="1:6">
      <c r="A78" t="s">
        <v>10</v>
      </c>
      <c r="B78">
        <v>3</v>
      </c>
      <c r="E78">
        <f t="shared" si="4"/>
        <v>3</v>
      </c>
      <c r="F78" t="str">
        <f t="shared" si="5"/>
        <v>ok</v>
      </c>
    </row>
    <row r="79" spans="1:6">
      <c r="A79" t="s">
        <v>79</v>
      </c>
      <c r="B79">
        <v>2</v>
      </c>
      <c r="C79" t="s">
        <v>93</v>
      </c>
      <c r="E79">
        <f t="shared" si="4"/>
        <v>4</v>
      </c>
      <c r="F79" t="str">
        <f t="shared" si="5"/>
        <v>ok</v>
      </c>
    </row>
    <row r="80" spans="1:6">
      <c r="A80" t="s">
        <v>225</v>
      </c>
      <c r="B80">
        <v>2</v>
      </c>
      <c r="C80" t="s">
        <v>108</v>
      </c>
      <c r="E80">
        <f t="shared" si="4"/>
        <v>5</v>
      </c>
      <c r="F80" t="str">
        <f t="shared" si="5"/>
        <v>ok</v>
      </c>
    </row>
    <row r="81" spans="1:6">
      <c r="A81" t="s">
        <v>228</v>
      </c>
      <c r="B81">
        <v>2</v>
      </c>
      <c r="C81" t="s">
        <v>229</v>
      </c>
      <c r="E81">
        <f t="shared" si="4"/>
        <v>4</v>
      </c>
      <c r="F81" t="str">
        <f t="shared" si="5"/>
        <v>ok</v>
      </c>
    </row>
    <row r="82" spans="1:6">
      <c r="A82" t="s">
        <v>106</v>
      </c>
      <c r="B82">
        <v>3</v>
      </c>
      <c r="E82">
        <f t="shared" si="4"/>
        <v>9</v>
      </c>
      <c r="F82" t="str">
        <f t="shared" si="5"/>
        <v>ok</v>
      </c>
    </row>
    <row r="83" spans="1:6">
      <c r="A83" t="s">
        <v>38</v>
      </c>
      <c r="B83">
        <v>3</v>
      </c>
      <c r="C83" t="s">
        <v>94</v>
      </c>
      <c r="E83">
        <f t="shared" si="4"/>
        <v>6</v>
      </c>
      <c r="F83" t="str">
        <f t="shared" si="5"/>
        <v>ok</v>
      </c>
    </row>
    <row r="84" spans="1:6">
      <c r="A84" t="s">
        <v>122</v>
      </c>
      <c r="B84">
        <v>3</v>
      </c>
      <c r="C84" t="s">
        <v>123</v>
      </c>
      <c r="E84">
        <f t="shared" si="4"/>
        <v>8</v>
      </c>
      <c r="F84" t="str">
        <f t="shared" si="5"/>
        <v>ok</v>
      </c>
    </row>
    <row r="85" spans="1:6">
      <c r="A85" t="s">
        <v>98</v>
      </c>
      <c r="B85">
        <v>3</v>
      </c>
      <c r="E85">
        <f t="shared" si="4"/>
        <v>13</v>
      </c>
      <c r="F85" t="str">
        <f t="shared" si="5"/>
        <v>ok</v>
      </c>
    </row>
    <row r="86" spans="1:6">
      <c r="A86" t="s">
        <v>66</v>
      </c>
      <c r="B86">
        <v>3</v>
      </c>
      <c r="E86">
        <f t="shared" si="4"/>
        <v>8</v>
      </c>
      <c r="F86" t="str">
        <f t="shared" si="5"/>
        <v>ok</v>
      </c>
    </row>
    <row r="87" spans="1:6">
      <c r="A87" t="s">
        <v>50</v>
      </c>
      <c r="B87">
        <v>3</v>
      </c>
      <c r="E87">
        <f t="shared" si="4"/>
        <v>5</v>
      </c>
      <c r="F87" t="str">
        <f t="shared" si="5"/>
        <v>ok</v>
      </c>
    </row>
    <row r="88" spans="1:6">
      <c r="A88" t="s">
        <v>113</v>
      </c>
      <c r="B88">
        <v>3</v>
      </c>
      <c r="C88" t="s">
        <v>117</v>
      </c>
      <c r="E88">
        <f t="shared" si="4"/>
        <v>8</v>
      </c>
      <c r="F88" t="str">
        <f t="shared" si="5"/>
        <v>ok</v>
      </c>
    </row>
    <row r="89" spans="1:6">
      <c r="A89" t="s">
        <v>114</v>
      </c>
      <c r="B89">
        <v>3</v>
      </c>
      <c r="E89">
        <f t="shared" si="4"/>
        <v>7</v>
      </c>
      <c r="F89" t="str">
        <f t="shared" si="5"/>
        <v>ok</v>
      </c>
    </row>
    <row r="90" spans="1:6">
      <c r="A90" t="s">
        <v>92</v>
      </c>
      <c r="B90">
        <v>3</v>
      </c>
      <c r="C90" t="s">
        <v>87</v>
      </c>
      <c r="E90">
        <f t="shared" si="4"/>
        <v>5</v>
      </c>
      <c r="F90" t="str">
        <f t="shared" si="5"/>
        <v>ok</v>
      </c>
    </row>
    <row r="91" spans="1:6">
      <c r="A91" t="s">
        <v>90</v>
      </c>
      <c r="B91">
        <v>4</v>
      </c>
      <c r="E91">
        <f t="shared" si="4"/>
        <v>6</v>
      </c>
      <c r="F91" t="str">
        <f t="shared" si="5"/>
        <v>ok</v>
      </c>
    </row>
    <row r="92" spans="1:6">
      <c r="A92" t="s">
        <v>84</v>
      </c>
      <c r="B92">
        <v>4</v>
      </c>
      <c r="E92">
        <f t="shared" si="4"/>
        <v>8</v>
      </c>
      <c r="F92" t="str">
        <f t="shared" si="5"/>
        <v>ok</v>
      </c>
    </row>
    <row r="93" spans="1:6">
      <c r="A93" t="s">
        <v>59</v>
      </c>
      <c r="B93">
        <v>4</v>
      </c>
      <c r="E93">
        <f t="shared" si="4"/>
        <v>11</v>
      </c>
      <c r="F93" t="str">
        <f t="shared" si="5"/>
        <v>ok</v>
      </c>
    </row>
    <row r="94" spans="1:6">
      <c r="A94" t="s">
        <v>45</v>
      </c>
      <c r="B94">
        <v>4</v>
      </c>
      <c r="E94">
        <f t="shared" si="4"/>
        <v>4</v>
      </c>
      <c r="F94" t="str">
        <f t="shared" si="5"/>
        <v>ok</v>
      </c>
    </row>
    <row r="95" spans="1:6">
      <c r="A95" t="s">
        <v>67</v>
      </c>
      <c r="B95">
        <v>4</v>
      </c>
      <c r="E95">
        <f t="shared" si="4"/>
        <v>5</v>
      </c>
      <c r="F95" t="str">
        <f t="shared" si="5"/>
        <v>ok</v>
      </c>
    </row>
    <row r="96" spans="1:6">
      <c r="A96" t="s">
        <v>130</v>
      </c>
      <c r="B96">
        <v>4</v>
      </c>
      <c r="E96">
        <f t="shared" si="4"/>
        <v>12</v>
      </c>
      <c r="F96" t="str">
        <f t="shared" si="5"/>
        <v>ok</v>
      </c>
    </row>
    <row r="97" spans="1:6">
      <c r="A97" t="s">
        <v>88</v>
      </c>
      <c r="B97">
        <v>4</v>
      </c>
      <c r="E97">
        <f t="shared" si="4"/>
        <v>6</v>
      </c>
      <c r="F97" t="str">
        <f t="shared" si="5"/>
        <v>ok</v>
      </c>
    </row>
    <row r="98" spans="1:6">
      <c r="A98" t="s">
        <v>89</v>
      </c>
      <c r="B98">
        <v>4</v>
      </c>
      <c r="E98">
        <f t="shared" si="4"/>
        <v>6</v>
      </c>
      <c r="F98" t="str">
        <f t="shared" si="5"/>
        <v>ok</v>
      </c>
    </row>
    <row r="99" spans="1:6">
      <c r="A99" t="s">
        <v>104</v>
      </c>
      <c r="B99">
        <v>4</v>
      </c>
      <c r="E99">
        <f t="shared" si="4"/>
        <v>8</v>
      </c>
      <c r="F99" t="str">
        <f t="shared" si="5"/>
        <v>ok</v>
      </c>
    </row>
    <row r="100" spans="1:6">
      <c r="A100" t="s">
        <v>83</v>
      </c>
      <c r="B100">
        <v>4</v>
      </c>
      <c r="E100">
        <f t="shared" si="4"/>
        <v>10</v>
      </c>
      <c r="F100" t="str">
        <f t="shared" si="5"/>
        <v>ok</v>
      </c>
    </row>
    <row r="101" spans="1:6">
      <c r="A101" t="s">
        <v>91</v>
      </c>
      <c r="B101">
        <v>4</v>
      </c>
      <c r="C101" t="s">
        <v>120</v>
      </c>
      <c r="E101">
        <f t="shared" si="4"/>
        <v>6</v>
      </c>
      <c r="F101" t="str">
        <f t="shared" si="5"/>
        <v>ok</v>
      </c>
    </row>
  </sheetData>
  <autoFilter ref="A1:F88" xr:uid="{E156FA71-D2FB-4CB1-A043-79DC79BF81F0}">
    <sortState xmlns:xlrd2="http://schemas.microsoft.com/office/spreadsheetml/2017/richdata2" ref="A2:F101">
      <sortCondition ref="B1:B88"/>
    </sortState>
  </autoFilter>
  <sortState xmlns:xlrd2="http://schemas.microsoft.com/office/spreadsheetml/2017/richdata2" ref="A2:F88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D63B-7408-4291-855A-5F7241845397}">
  <sheetPr codeName="Sheet2"/>
  <dimension ref="A1:N17"/>
  <sheetViews>
    <sheetView showGridLines="0" workbookViewId="0">
      <selection activeCell="A3" sqref="A3:K8"/>
    </sheetView>
  </sheetViews>
  <sheetFormatPr defaultRowHeight="15"/>
  <cols>
    <col min="1" max="1" width="4.7109375" bestFit="1" customWidth="1"/>
    <col min="2" max="2" width="11" customWidth="1"/>
    <col min="3" max="3" width="12.42578125" customWidth="1"/>
    <col min="4" max="4" width="13.28515625" customWidth="1"/>
    <col min="5" max="5" width="17" customWidth="1"/>
    <col min="6" max="6" width="2.85546875" customWidth="1"/>
    <col min="7" max="7" width="5.140625" style="19" customWidth="1"/>
    <col min="8" max="8" width="28" customWidth="1"/>
    <col min="9" max="9" width="39.140625" customWidth="1"/>
    <col min="10" max="10" width="5.140625" customWidth="1"/>
    <col min="11" max="11" width="2.28515625" customWidth="1"/>
  </cols>
  <sheetData>
    <row r="1" spans="1:14" ht="35.25">
      <c r="G1" s="16"/>
      <c r="I1" s="4"/>
    </row>
    <row r="2" spans="1:14" ht="36" thickBot="1">
      <c r="G2" s="16"/>
      <c r="H2" s="4"/>
      <c r="I2" s="4"/>
      <c r="J2" s="4"/>
    </row>
    <row r="3" spans="1:14" ht="35.25">
      <c r="A3" s="36" t="s">
        <v>256</v>
      </c>
      <c r="B3" s="37" t="s">
        <v>257</v>
      </c>
      <c r="C3" s="37" t="s">
        <v>258</v>
      </c>
      <c r="D3" s="38" t="s">
        <v>259</v>
      </c>
      <c r="E3" s="26"/>
      <c r="F3" s="6"/>
      <c r="G3" s="17"/>
      <c r="H3" s="7"/>
      <c r="I3" s="21" t="s">
        <v>132</v>
      </c>
      <c r="J3" s="7"/>
      <c r="K3" s="8"/>
      <c r="L3" s="15"/>
      <c r="M3" s="15"/>
    </row>
    <row r="4" spans="1:14" s="5" customFormat="1" ht="42.75" customHeight="1">
      <c r="A4" s="29">
        <f ca="1">+INT(RANDBETWEEN(1,COUNTA(Words!$K:$K)))</f>
        <v>6</v>
      </c>
      <c r="B4" s="30" t="str" cm="1">
        <f t="array" aca="1" ref="B4" ca="1">INDEX(Words!$K:$K,A4)</f>
        <v>boat</v>
      </c>
      <c r="C4" s="28" t="str">
        <f ca="1">VLOOKUP($B4,Words!$A:$F,4,0)&amp;""</f>
        <v/>
      </c>
      <c r="D4" s="31" t="str">
        <f ca="1">VLOOKUP($B4,Words!$A:$F,3,0)&amp;""</f>
        <v/>
      </c>
      <c r="E4" s="27"/>
      <c r="F4" s="9"/>
      <c r="G4" s="25">
        <f ca="1">VLOOKUP($B4,Words!$A:$F,2,0)</f>
        <v>1</v>
      </c>
      <c r="H4" s="22" t="str">
        <f ca="1">+UPPER(LEFT($B4,1))&amp;LOWER(RIGHT(B4,LEN(B4)-1))</f>
        <v>Boat</v>
      </c>
      <c r="I4" s="22" t="str">
        <f ca="1">IFERROR(UPPER(LEFT($D4,1))&amp;LOWER(RIGHT(D4,LEN(D4)-1)),"")</f>
        <v/>
      </c>
      <c r="J4" s="25" t="str">
        <f ca="1">IF(AND(C4&lt;&gt;"",I4&lt;&gt;""),"+"&amp;C4,IF(TRIM(I4)&lt;&gt;""," +1",""))</f>
        <v/>
      </c>
      <c r="K4" s="11"/>
      <c r="L4" s="14"/>
      <c r="M4" s="14"/>
    </row>
    <row r="5" spans="1:14" s="5" customFormat="1" ht="42.75" customHeight="1">
      <c r="A5" s="29">
        <f ca="1">+INT(RANDBETWEEN(1,COUNTA(Words!$M:$M)))</f>
        <v>21</v>
      </c>
      <c r="B5" s="30" t="str" cm="1">
        <f t="array" aca="1" ref="B5" ca="1">INDEX(Words!$M:$M,A5)</f>
        <v>swan</v>
      </c>
      <c r="C5" s="28" t="str">
        <f ca="1">VLOOKUP($B5,Words!$A:$F,4,0)&amp;""</f>
        <v/>
      </c>
      <c r="D5" s="31" t="str">
        <f ca="1">VLOOKUP($B5,Words!$A:$F,3,0)&amp;""</f>
        <v/>
      </c>
      <c r="E5" s="27"/>
      <c r="F5" s="9"/>
      <c r="G5" s="25">
        <f ca="1">VLOOKUP($B5,Words!$A:$F,2,0)</f>
        <v>2</v>
      </c>
      <c r="H5" s="22" t="str">
        <f ca="1">+UPPER(LEFT($B5,1))&amp;LOWER(RIGHT(B5,LEN(B5)-1))</f>
        <v>Swan</v>
      </c>
      <c r="I5" s="22" t="str">
        <f ca="1">IFERROR(UPPER(LEFT($D5,1))&amp;LOWER(RIGHT(D5,LEN(D5)-1)),"")</f>
        <v/>
      </c>
      <c r="J5" s="25" t="str">
        <f t="shared" ref="J5:J7" ca="1" si="0">IF(AND(C5&lt;&gt;"",I5&lt;&gt;""),"+"&amp;C5,IF(TRIM(I5)&lt;&gt;""," +1",""))</f>
        <v/>
      </c>
      <c r="K5" s="11"/>
      <c r="L5" s="14"/>
      <c r="M5" s="14"/>
    </row>
    <row r="6" spans="1:14" s="5" customFormat="1" ht="42.75" customHeight="1">
      <c r="A6" s="29">
        <f ca="1">+INT(RANDBETWEEN(1,COUNTA(Words!$O:$O)))</f>
        <v>11</v>
      </c>
      <c r="B6" s="30" t="str" cm="1">
        <f t="array" aca="1" ref="B6" ca="1">INDEX(Words!$O:$O,A6)</f>
        <v>sleeping</v>
      </c>
      <c r="C6" s="28" t="str">
        <f ca="1">VLOOKUP($B6,Words!$A:$F,4,0)&amp;""</f>
        <v/>
      </c>
      <c r="D6" s="31" t="str">
        <f ca="1">VLOOKUP($B6,Words!$A:$F,3,0)&amp;""</f>
        <v>sleeping beauty</v>
      </c>
      <c r="E6" s="27"/>
      <c r="F6" s="9"/>
      <c r="G6" s="25">
        <f ca="1">VLOOKUP($B6,Words!$A:$F,2,0)</f>
        <v>3</v>
      </c>
      <c r="H6" s="22" t="str">
        <f ca="1">+UPPER(LEFT($B6,1))&amp;LOWER(RIGHT(B6,LEN(B6)-1))</f>
        <v>Sleeping</v>
      </c>
      <c r="I6" s="22" t="str">
        <f ca="1">IFERROR(UPPER(LEFT($D6,1))&amp;LOWER(RIGHT(D6,LEN(D6)-1)),"")</f>
        <v>Sleeping beauty</v>
      </c>
      <c r="J6" s="25" t="str">
        <f t="shared" ca="1" si="0"/>
        <v xml:space="preserve"> +1</v>
      </c>
      <c r="K6" s="11"/>
      <c r="L6" s="14"/>
      <c r="M6" s="14"/>
    </row>
    <row r="7" spans="1:14" s="5" customFormat="1" ht="42.75" customHeight="1">
      <c r="A7" s="32">
        <f ca="1">+INT(RANDBETWEEN(1,COUNTA(Words!$Q:$Q)))</f>
        <v>6</v>
      </c>
      <c r="B7" s="33" t="str" cm="1">
        <f t="array" aca="1" ref="B7" ca="1">INDEX(Words!$Q:$Q,A7)</f>
        <v>solar system</v>
      </c>
      <c r="C7" s="34" t="str">
        <f ca="1">VLOOKUP($B7,Words!$A:$F,4,0)&amp;""</f>
        <v/>
      </c>
      <c r="D7" s="35" t="str">
        <f ca="1">VLOOKUP($B7,Words!$A:$F,3,0)&amp;""</f>
        <v/>
      </c>
      <c r="E7" s="27"/>
      <c r="F7" s="9"/>
      <c r="G7" s="25">
        <f ca="1">VLOOKUP($B7,Words!$A:$F,2,0)</f>
        <v>4</v>
      </c>
      <c r="H7" s="22" t="str">
        <f ca="1">+UPPER(LEFT($B7,1))&amp;LOWER(RIGHT(B7,LEN(B7)-1))</f>
        <v>Solar system</v>
      </c>
      <c r="I7" s="22" t="str">
        <f ca="1">IFERROR(UPPER(LEFT($D7,1))&amp;LOWER(RIGHT(D7,LEN(D7)-1)),"")</f>
        <v/>
      </c>
      <c r="J7" s="25" t="str">
        <f t="shared" ca="1" si="0"/>
        <v/>
      </c>
      <c r="K7" s="11"/>
      <c r="L7" s="14"/>
      <c r="M7" s="14"/>
    </row>
    <row r="8" spans="1:14" ht="12" customHeight="1" thickBot="1">
      <c r="A8" s="26"/>
      <c r="B8" s="26"/>
      <c r="C8" s="26"/>
      <c r="D8" s="26"/>
      <c r="E8" s="26"/>
      <c r="F8" s="12"/>
      <c r="G8" s="23"/>
      <c r="H8" s="24"/>
      <c r="I8" s="24"/>
      <c r="J8" s="24"/>
      <c r="K8" s="13"/>
      <c r="L8" s="15"/>
      <c r="M8" s="15"/>
    </row>
    <row r="9" spans="1:14">
      <c r="F9" s="15"/>
      <c r="G9" s="18"/>
      <c r="H9" s="15"/>
      <c r="I9" s="15"/>
      <c r="J9" s="15"/>
      <c r="K9" s="15"/>
      <c r="L9" s="15"/>
      <c r="M9" s="15"/>
    </row>
    <row r="10" spans="1:14">
      <c r="F10" s="15"/>
      <c r="G10" s="18"/>
      <c r="H10" s="15"/>
      <c r="I10" s="15"/>
      <c r="J10" s="15"/>
      <c r="K10" s="15"/>
      <c r="L10" s="15"/>
      <c r="M10" s="15"/>
    </row>
    <row r="11" spans="1:14">
      <c r="L11" s="2"/>
      <c r="N11" s="3"/>
    </row>
    <row r="13" spans="1:14">
      <c r="B13" s="20" t="s">
        <v>131</v>
      </c>
      <c r="C13" s="20"/>
      <c r="D13" s="20"/>
    </row>
    <row r="14" spans="1:14" ht="10.5" customHeight="1">
      <c r="B14" s="20"/>
      <c r="C14" s="20"/>
      <c r="D14" s="20"/>
    </row>
    <row r="15" spans="1:14">
      <c r="B15" s="20"/>
      <c r="C15" s="20"/>
      <c r="D15" s="20"/>
    </row>
    <row r="16" spans="1:14" ht="35.25">
      <c r="B16" s="10" t="s">
        <v>101</v>
      </c>
      <c r="C16" s="10">
        <v>30</v>
      </c>
      <c r="D16" s="10"/>
    </row>
    <row r="17" spans="2:3" ht="35.25">
      <c r="B17" s="10" t="s">
        <v>100</v>
      </c>
      <c r="C17" s="10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deck">
                <anchor moveWithCells="1" sizeWithCells="1">
                  <from>
                    <xdr:col>1</xdr:col>
                    <xdr:colOff>0</xdr:colOff>
                    <xdr:row>11</xdr:row>
                    <xdr:rowOff>133350</xdr:rowOff>
                  </from>
                  <to>
                    <xdr:col>4</xdr:col>
                    <xdr:colOff>123825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0DBC-3437-4254-AF77-DC90EEBCE5ED}">
  <sheetPr codeName="Sheet3">
    <pageSetUpPr fitToPage="1"/>
  </sheetPr>
  <dimension ref="A1:T209"/>
  <sheetViews>
    <sheetView showGridLines="0" showRowColHeaders="0" zoomScale="85" zoomScaleNormal="85" zoomScalePageLayoutView="85" workbookViewId="0">
      <selection activeCell="O211" sqref="O211:T216"/>
    </sheetView>
  </sheetViews>
  <sheetFormatPr defaultColWidth="8.140625" defaultRowHeight="15"/>
  <cols>
    <col min="1" max="1" width="2.85546875" customWidth="1"/>
    <col min="2" max="2" width="5.140625" customWidth="1"/>
    <col min="3" max="3" width="28" customWidth="1"/>
    <col min="4" max="4" width="39.140625" customWidth="1"/>
    <col min="5" max="5" width="5.140625" customWidth="1"/>
    <col min="6" max="6" width="2.28515625" customWidth="1"/>
    <col min="8" max="8" width="2.85546875" customWidth="1"/>
    <col min="9" max="9" width="5.140625" customWidth="1"/>
    <col min="10" max="10" width="28" customWidth="1"/>
    <col min="11" max="11" width="39.140625" customWidth="1"/>
    <col min="12" max="12" width="5.140625" customWidth="1"/>
    <col min="13" max="13" width="2.28515625" customWidth="1"/>
    <col min="15" max="15" width="2.85546875" customWidth="1"/>
    <col min="16" max="16" width="5.140625" customWidth="1"/>
    <col min="17" max="17" width="28" customWidth="1"/>
    <col min="18" max="18" width="39.140625" customWidth="1"/>
    <col min="19" max="19" width="5.140625" customWidth="1"/>
    <col min="20" max="20" width="2.28515625" customWidth="1"/>
  </cols>
  <sheetData>
    <row r="1" spans="1:20" ht="35.25">
      <c r="A1" s="6"/>
      <c r="B1" s="17"/>
      <c r="C1" s="7"/>
      <c r="D1" s="21" t="s">
        <v>132</v>
      </c>
      <c r="E1" s="7"/>
      <c r="F1" s="8"/>
      <c r="H1" s="6"/>
      <c r="I1" s="17"/>
      <c r="J1" s="7"/>
      <c r="K1" s="21" t="s">
        <v>132</v>
      </c>
      <c r="L1" s="7"/>
      <c r="M1" s="8"/>
      <c r="O1" s="6"/>
      <c r="P1" s="17"/>
      <c r="Q1" s="7"/>
      <c r="R1" s="21" t="s">
        <v>132</v>
      </c>
      <c r="S1" s="7"/>
      <c r="T1" s="8"/>
    </row>
    <row r="2" spans="1:20" ht="30.75">
      <c r="A2" s="9"/>
      <c r="B2" s="25">
        <v>1</v>
      </c>
      <c r="C2" s="22" t="s">
        <v>192</v>
      </c>
      <c r="D2" s="22" t="s">
        <v>133</v>
      </c>
      <c r="E2" s="25" t="s">
        <v>133</v>
      </c>
      <c r="F2" s="11"/>
      <c r="H2" s="9"/>
      <c r="I2" s="25">
        <v>1</v>
      </c>
      <c r="J2" s="22" t="s">
        <v>232</v>
      </c>
      <c r="K2" s="22" t="s">
        <v>133</v>
      </c>
      <c r="L2" s="25" t="s">
        <v>133</v>
      </c>
      <c r="M2" s="11"/>
      <c r="O2" s="9"/>
      <c r="P2" s="25">
        <v>1</v>
      </c>
      <c r="Q2" s="22" t="s">
        <v>241</v>
      </c>
      <c r="R2" s="22" t="s">
        <v>242</v>
      </c>
      <c r="S2" s="25" t="s">
        <v>224</v>
      </c>
      <c r="T2" s="11"/>
    </row>
    <row r="3" spans="1:20" ht="30.75">
      <c r="A3" s="9"/>
      <c r="B3" s="25">
        <v>2</v>
      </c>
      <c r="C3" s="22" t="s">
        <v>169</v>
      </c>
      <c r="D3" s="22" t="s">
        <v>170</v>
      </c>
      <c r="E3" s="25" t="s">
        <v>224</v>
      </c>
      <c r="F3" s="11"/>
      <c r="H3" s="9"/>
      <c r="I3" s="25">
        <v>2</v>
      </c>
      <c r="J3" s="22" t="s">
        <v>155</v>
      </c>
      <c r="K3" s="22" t="s">
        <v>133</v>
      </c>
      <c r="L3" s="25" t="s">
        <v>133</v>
      </c>
      <c r="M3" s="11"/>
      <c r="O3" s="9"/>
      <c r="P3" s="25">
        <v>2</v>
      </c>
      <c r="Q3" s="22" t="s">
        <v>189</v>
      </c>
      <c r="R3" s="22" t="s">
        <v>133</v>
      </c>
      <c r="S3" s="25" t="s">
        <v>133</v>
      </c>
      <c r="T3" s="11"/>
    </row>
    <row r="4" spans="1:20" ht="30.75">
      <c r="A4" s="9"/>
      <c r="B4" s="25">
        <v>3</v>
      </c>
      <c r="C4" s="22" t="s">
        <v>140</v>
      </c>
      <c r="D4" s="22" t="s">
        <v>141</v>
      </c>
      <c r="E4" s="25" t="s">
        <v>224</v>
      </c>
      <c r="F4" s="11"/>
      <c r="H4" s="9"/>
      <c r="I4" s="25">
        <v>3</v>
      </c>
      <c r="J4" s="22" t="s">
        <v>136</v>
      </c>
      <c r="K4" s="22" t="s">
        <v>137</v>
      </c>
      <c r="L4" s="25" t="s">
        <v>224</v>
      </c>
      <c r="M4" s="11"/>
      <c r="O4" s="9"/>
      <c r="P4" s="25">
        <v>3</v>
      </c>
      <c r="Q4" s="22" t="s">
        <v>146</v>
      </c>
      <c r="R4" s="22" t="s">
        <v>147</v>
      </c>
      <c r="S4" s="25" t="s">
        <v>224</v>
      </c>
      <c r="T4" s="11"/>
    </row>
    <row r="5" spans="1:20" ht="30.75">
      <c r="A5" s="9"/>
      <c r="B5" s="25">
        <v>4</v>
      </c>
      <c r="C5" s="22" t="s">
        <v>138</v>
      </c>
      <c r="D5" s="22" t="s">
        <v>133</v>
      </c>
      <c r="E5" s="25" t="s">
        <v>133</v>
      </c>
      <c r="F5" s="11"/>
      <c r="H5" s="9"/>
      <c r="I5" s="25">
        <v>4</v>
      </c>
      <c r="J5" s="22" t="s">
        <v>175</v>
      </c>
      <c r="K5" s="22" t="s">
        <v>133</v>
      </c>
      <c r="L5" s="25" t="s">
        <v>133</v>
      </c>
      <c r="M5" s="11"/>
      <c r="O5" s="9"/>
      <c r="P5" s="25">
        <v>4</v>
      </c>
      <c r="Q5" s="22" t="s">
        <v>200</v>
      </c>
      <c r="R5" s="22" t="s">
        <v>133</v>
      </c>
      <c r="S5" s="25" t="s">
        <v>133</v>
      </c>
      <c r="T5" s="11"/>
    </row>
    <row r="6" spans="1:20" ht="33.75" thickBot="1">
      <c r="A6" s="12"/>
      <c r="B6" s="23"/>
      <c r="C6" s="24"/>
      <c r="D6" s="24"/>
      <c r="E6" s="24"/>
      <c r="F6" s="13"/>
      <c r="H6" s="12"/>
      <c r="I6" s="23"/>
      <c r="J6" s="24"/>
      <c r="K6" s="24"/>
      <c r="L6" s="24"/>
      <c r="M6" s="13"/>
      <c r="O6" s="12"/>
      <c r="P6" s="23"/>
      <c r="Q6" s="24"/>
      <c r="R6" s="24"/>
      <c r="S6" s="24"/>
      <c r="T6" s="13"/>
    </row>
    <row r="7" spans="1:20" ht="15.75" thickBot="1"/>
    <row r="8" spans="1:20" ht="35.25">
      <c r="A8" s="6"/>
      <c r="B8" s="17"/>
      <c r="C8" s="7"/>
      <c r="D8" s="21" t="s">
        <v>132</v>
      </c>
      <c r="E8" s="7"/>
      <c r="F8" s="8"/>
      <c r="H8" s="6"/>
      <c r="I8" s="17"/>
      <c r="J8" s="7"/>
      <c r="K8" s="21" t="s">
        <v>132</v>
      </c>
      <c r="L8" s="7"/>
      <c r="M8" s="8"/>
      <c r="O8" s="6"/>
      <c r="P8" s="17"/>
      <c r="Q8" s="7"/>
      <c r="R8" s="21" t="s">
        <v>132</v>
      </c>
      <c r="S8" s="7"/>
      <c r="T8" s="8"/>
    </row>
    <row r="9" spans="1:20" ht="30.75">
      <c r="A9" s="9"/>
      <c r="B9" s="25">
        <v>1</v>
      </c>
      <c r="C9" s="22" t="s">
        <v>157</v>
      </c>
      <c r="D9" s="22" t="s">
        <v>158</v>
      </c>
      <c r="E9" s="25" t="s">
        <v>224</v>
      </c>
      <c r="F9" s="11"/>
      <c r="H9" s="9"/>
      <c r="I9" s="25">
        <v>1</v>
      </c>
      <c r="J9" s="22" t="s">
        <v>219</v>
      </c>
      <c r="K9" s="22" t="s">
        <v>115</v>
      </c>
      <c r="L9" s="25" t="s">
        <v>224</v>
      </c>
      <c r="M9" s="11"/>
      <c r="O9" s="9"/>
      <c r="P9" s="25">
        <v>1</v>
      </c>
      <c r="Q9" s="22" t="s">
        <v>149</v>
      </c>
      <c r="R9" s="22" t="s">
        <v>133</v>
      </c>
      <c r="S9" s="25" t="s">
        <v>133</v>
      </c>
      <c r="T9" s="11"/>
    </row>
    <row r="10" spans="1:20" ht="30.75">
      <c r="A10" s="9"/>
      <c r="B10" s="25">
        <v>2</v>
      </c>
      <c r="C10" s="22" t="s">
        <v>196</v>
      </c>
      <c r="D10" s="22" t="s">
        <v>133</v>
      </c>
      <c r="E10" s="25" t="s">
        <v>133</v>
      </c>
      <c r="F10" s="11"/>
      <c r="H10" s="9"/>
      <c r="I10" s="25">
        <v>2</v>
      </c>
      <c r="J10" s="22" t="s">
        <v>239</v>
      </c>
      <c r="K10" s="22" t="s">
        <v>150</v>
      </c>
      <c r="L10" s="25" t="s">
        <v>224</v>
      </c>
      <c r="M10" s="11"/>
      <c r="O10" s="9"/>
      <c r="P10" s="25">
        <v>2</v>
      </c>
      <c r="Q10" s="22" t="s">
        <v>154</v>
      </c>
      <c r="R10" s="22" t="s">
        <v>133</v>
      </c>
      <c r="S10" s="25" t="s">
        <v>133</v>
      </c>
      <c r="T10" s="11"/>
    </row>
    <row r="11" spans="1:20" ht="30.75">
      <c r="A11" s="9"/>
      <c r="B11" s="25">
        <v>3</v>
      </c>
      <c r="C11" s="22" t="s">
        <v>177</v>
      </c>
      <c r="D11" s="22" t="s">
        <v>133</v>
      </c>
      <c r="E11" s="25" t="s">
        <v>133</v>
      </c>
      <c r="F11" s="11"/>
      <c r="H11" s="9"/>
      <c r="I11" s="25">
        <v>3</v>
      </c>
      <c r="J11" s="22" t="s">
        <v>151</v>
      </c>
      <c r="K11" s="22" t="s">
        <v>133</v>
      </c>
      <c r="L11" s="25" t="s">
        <v>133</v>
      </c>
      <c r="M11" s="11"/>
      <c r="O11" s="9"/>
      <c r="P11" s="25">
        <v>3</v>
      </c>
      <c r="Q11" s="22" t="s">
        <v>140</v>
      </c>
      <c r="R11" s="22" t="s">
        <v>141</v>
      </c>
      <c r="S11" s="25" t="s">
        <v>224</v>
      </c>
      <c r="T11" s="11"/>
    </row>
    <row r="12" spans="1:20" ht="30.75">
      <c r="A12" s="9"/>
      <c r="B12" s="25">
        <v>4</v>
      </c>
      <c r="C12" s="22" t="s">
        <v>148</v>
      </c>
      <c r="D12" s="22" t="s">
        <v>133</v>
      </c>
      <c r="E12" s="25" t="s">
        <v>133</v>
      </c>
      <c r="F12" s="11"/>
      <c r="H12" s="9"/>
      <c r="I12" s="25">
        <v>4</v>
      </c>
      <c r="J12" s="22" t="s">
        <v>161</v>
      </c>
      <c r="K12" s="22" t="s">
        <v>133</v>
      </c>
      <c r="L12" s="25" t="s">
        <v>133</v>
      </c>
      <c r="M12" s="11"/>
      <c r="O12" s="9"/>
      <c r="P12" s="25">
        <v>4</v>
      </c>
      <c r="Q12" s="22" t="s">
        <v>165</v>
      </c>
      <c r="R12" s="22" t="s">
        <v>166</v>
      </c>
      <c r="S12" s="25" t="s">
        <v>224</v>
      </c>
      <c r="T12" s="11"/>
    </row>
    <row r="13" spans="1:20" ht="33.75" thickBot="1">
      <c r="A13" s="12"/>
      <c r="B13" s="23"/>
      <c r="C13" s="24"/>
      <c r="D13" s="24"/>
      <c r="E13" s="24"/>
      <c r="F13" s="13"/>
      <c r="H13" s="12"/>
      <c r="I13" s="23"/>
      <c r="J13" s="24"/>
      <c r="K13" s="24"/>
      <c r="L13" s="24"/>
      <c r="M13" s="13"/>
      <c r="O13" s="12"/>
      <c r="P13" s="23"/>
      <c r="Q13" s="24"/>
      <c r="R13" s="24"/>
      <c r="S13" s="24"/>
      <c r="T13" s="13"/>
    </row>
    <row r="14" spans="1:20" ht="15.75" thickBot="1"/>
    <row r="15" spans="1:20" ht="35.25">
      <c r="A15" s="6"/>
      <c r="B15" s="17"/>
      <c r="C15" s="7"/>
      <c r="D15" s="21" t="s">
        <v>132</v>
      </c>
      <c r="E15" s="7"/>
      <c r="F15" s="8"/>
      <c r="H15" s="6"/>
      <c r="I15" s="17"/>
      <c r="J15" s="7"/>
      <c r="K15" s="21" t="s">
        <v>132</v>
      </c>
      <c r="L15" s="7"/>
      <c r="M15" s="8"/>
      <c r="O15" s="6"/>
      <c r="P15" s="17"/>
      <c r="Q15" s="7"/>
      <c r="R15" s="21" t="s">
        <v>132</v>
      </c>
      <c r="S15" s="7"/>
      <c r="T15" s="8"/>
    </row>
    <row r="16" spans="1:20" ht="30.75">
      <c r="A16" s="9"/>
      <c r="B16" s="25">
        <v>1</v>
      </c>
      <c r="C16" s="22" t="s">
        <v>198</v>
      </c>
      <c r="D16" s="22" t="s">
        <v>199</v>
      </c>
      <c r="E16" s="25" t="s">
        <v>224</v>
      </c>
      <c r="F16" s="11"/>
      <c r="H16" s="9"/>
      <c r="I16" s="25">
        <v>1</v>
      </c>
      <c r="J16" s="22" t="s">
        <v>153</v>
      </c>
      <c r="K16" s="22" t="s">
        <v>133</v>
      </c>
      <c r="L16" s="25" t="s">
        <v>133</v>
      </c>
      <c r="M16" s="11"/>
      <c r="O16" s="9"/>
      <c r="P16" s="25">
        <v>1</v>
      </c>
      <c r="Q16" s="22" t="s">
        <v>192</v>
      </c>
      <c r="R16" s="22" t="s">
        <v>133</v>
      </c>
      <c r="S16" s="25" t="s">
        <v>133</v>
      </c>
      <c r="T16" s="11"/>
    </row>
    <row r="17" spans="1:20" ht="30.75">
      <c r="A17" s="9"/>
      <c r="B17" s="25">
        <v>2</v>
      </c>
      <c r="C17" s="22" t="s">
        <v>169</v>
      </c>
      <c r="D17" s="22" t="s">
        <v>170</v>
      </c>
      <c r="E17" s="25" t="s">
        <v>224</v>
      </c>
      <c r="F17" s="11"/>
      <c r="H17" s="9"/>
      <c r="I17" s="25">
        <v>2</v>
      </c>
      <c r="J17" s="22" t="s">
        <v>193</v>
      </c>
      <c r="K17" s="22" t="s">
        <v>133</v>
      </c>
      <c r="L17" s="25" t="s">
        <v>133</v>
      </c>
      <c r="M17" s="11"/>
      <c r="O17" s="9"/>
      <c r="P17" s="25">
        <v>2</v>
      </c>
      <c r="Q17" s="22" t="s">
        <v>202</v>
      </c>
      <c r="R17" s="22" t="s">
        <v>133</v>
      </c>
      <c r="S17" s="25" t="s">
        <v>133</v>
      </c>
      <c r="T17" s="11"/>
    </row>
    <row r="18" spans="1:20" ht="30.75">
      <c r="A18" s="9"/>
      <c r="B18" s="25">
        <v>3</v>
      </c>
      <c r="C18" s="22" t="s">
        <v>171</v>
      </c>
      <c r="D18" s="22" t="s">
        <v>133</v>
      </c>
      <c r="E18" s="25" t="s">
        <v>133</v>
      </c>
      <c r="F18" s="11"/>
      <c r="H18" s="9"/>
      <c r="I18" s="25">
        <v>3</v>
      </c>
      <c r="J18" s="22" t="s">
        <v>163</v>
      </c>
      <c r="K18" s="22" t="s">
        <v>133</v>
      </c>
      <c r="L18" s="25" t="s">
        <v>133</v>
      </c>
      <c r="M18" s="11"/>
      <c r="O18" s="9"/>
      <c r="P18" s="25">
        <v>3</v>
      </c>
      <c r="Q18" s="22" t="s">
        <v>163</v>
      </c>
      <c r="R18" s="22" t="s">
        <v>133</v>
      </c>
      <c r="S18" s="25" t="s">
        <v>133</v>
      </c>
      <c r="T18" s="11"/>
    </row>
    <row r="19" spans="1:20" ht="30.75">
      <c r="A19" s="9"/>
      <c r="B19" s="25">
        <v>4</v>
      </c>
      <c r="C19" s="22" t="s">
        <v>161</v>
      </c>
      <c r="D19" s="22" t="s">
        <v>133</v>
      </c>
      <c r="E19" s="25" t="s">
        <v>133</v>
      </c>
      <c r="F19" s="11"/>
      <c r="H19" s="9"/>
      <c r="I19" s="25">
        <v>4</v>
      </c>
      <c r="J19" s="22" t="s">
        <v>148</v>
      </c>
      <c r="K19" s="22" t="s">
        <v>133</v>
      </c>
      <c r="L19" s="25" t="s">
        <v>133</v>
      </c>
      <c r="M19" s="11"/>
      <c r="O19" s="9"/>
      <c r="P19" s="25">
        <v>4</v>
      </c>
      <c r="Q19" s="22" t="s">
        <v>165</v>
      </c>
      <c r="R19" s="22" t="s">
        <v>166</v>
      </c>
      <c r="S19" s="25" t="s">
        <v>224</v>
      </c>
      <c r="T19" s="11"/>
    </row>
    <row r="20" spans="1:20" ht="33.75" thickBot="1">
      <c r="A20" s="12"/>
      <c r="B20" s="23"/>
      <c r="C20" s="24"/>
      <c r="D20" s="24"/>
      <c r="E20" s="24"/>
      <c r="F20" s="13"/>
      <c r="H20" s="12"/>
      <c r="I20" s="23"/>
      <c r="J20" s="24"/>
      <c r="K20" s="24"/>
      <c r="L20" s="24"/>
      <c r="M20" s="13"/>
      <c r="O20" s="12"/>
      <c r="P20" s="23"/>
      <c r="Q20" s="24"/>
      <c r="R20" s="24"/>
      <c r="S20" s="24"/>
      <c r="T20" s="13"/>
    </row>
    <row r="21" spans="1:20" ht="15.75" thickBot="1"/>
    <row r="22" spans="1:20" ht="35.25">
      <c r="A22" s="6"/>
      <c r="B22" s="17"/>
      <c r="C22" s="7"/>
      <c r="D22" s="21" t="s">
        <v>132</v>
      </c>
      <c r="E22" s="7"/>
      <c r="F22" s="8"/>
      <c r="H22" s="6"/>
      <c r="I22" s="17"/>
      <c r="J22" s="7"/>
      <c r="K22" s="21" t="s">
        <v>132</v>
      </c>
      <c r="L22" s="7"/>
      <c r="M22" s="8"/>
      <c r="O22" s="6"/>
      <c r="P22" s="17"/>
      <c r="Q22" s="7"/>
      <c r="R22" s="21" t="s">
        <v>132</v>
      </c>
      <c r="S22" s="7"/>
      <c r="T22" s="8"/>
    </row>
    <row r="23" spans="1:20" ht="30.75">
      <c r="A23" s="9"/>
      <c r="B23" s="25">
        <v>1</v>
      </c>
      <c r="C23" s="22" t="s">
        <v>209</v>
      </c>
      <c r="D23" s="22" t="s">
        <v>210</v>
      </c>
      <c r="E23" s="25" t="s">
        <v>224</v>
      </c>
      <c r="F23" s="11"/>
      <c r="H23" s="9"/>
      <c r="I23" s="25">
        <v>1</v>
      </c>
      <c r="J23" s="22" t="s">
        <v>207</v>
      </c>
      <c r="K23" s="22" t="s">
        <v>133</v>
      </c>
      <c r="L23" s="25" t="s">
        <v>133</v>
      </c>
      <c r="M23" s="11"/>
      <c r="O23" s="9"/>
      <c r="P23" s="25">
        <v>1</v>
      </c>
      <c r="Q23" s="22" t="s">
        <v>205</v>
      </c>
      <c r="R23" s="22" t="s">
        <v>133</v>
      </c>
      <c r="S23" s="25" t="s">
        <v>133</v>
      </c>
      <c r="T23" s="11"/>
    </row>
    <row r="24" spans="1:20" ht="30.75">
      <c r="A24" s="9"/>
      <c r="B24" s="25">
        <v>2</v>
      </c>
      <c r="C24" s="22" t="s">
        <v>215</v>
      </c>
      <c r="D24" s="22" t="s">
        <v>216</v>
      </c>
      <c r="E24" s="25" t="s">
        <v>224</v>
      </c>
      <c r="F24" s="11"/>
      <c r="H24" s="9"/>
      <c r="I24" s="25">
        <v>2</v>
      </c>
      <c r="J24" s="22" t="s">
        <v>193</v>
      </c>
      <c r="K24" s="22" t="s">
        <v>133</v>
      </c>
      <c r="L24" s="25" t="s">
        <v>133</v>
      </c>
      <c r="M24" s="11"/>
      <c r="O24" s="9"/>
      <c r="P24" s="25">
        <v>2</v>
      </c>
      <c r="Q24" s="22" t="s">
        <v>162</v>
      </c>
      <c r="R24" s="22" t="s">
        <v>133</v>
      </c>
      <c r="S24" s="25" t="s">
        <v>133</v>
      </c>
      <c r="T24" s="11"/>
    </row>
    <row r="25" spans="1:20" ht="30.75">
      <c r="A25" s="9"/>
      <c r="B25" s="25">
        <v>3</v>
      </c>
      <c r="C25" s="22" t="s">
        <v>151</v>
      </c>
      <c r="D25" s="22" t="s">
        <v>133</v>
      </c>
      <c r="E25" s="25" t="s">
        <v>133</v>
      </c>
      <c r="F25" s="11"/>
      <c r="H25" s="9"/>
      <c r="I25" s="25">
        <v>3</v>
      </c>
      <c r="J25" s="22" t="s">
        <v>151</v>
      </c>
      <c r="K25" s="22" t="s">
        <v>133</v>
      </c>
      <c r="L25" s="25" t="s">
        <v>133</v>
      </c>
      <c r="M25" s="11"/>
      <c r="O25" s="9"/>
      <c r="P25" s="25">
        <v>3</v>
      </c>
      <c r="Q25" s="22" t="s">
        <v>140</v>
      </c>
      <c r="R25" s="22" t="s">
        <v>141</v>
      </c>
      <c r="S25" s="25" t="s">
        <v>224</v>
      </c>
      <c r="T25" s="11"/>
    </row>
    <row r="26" spans="1:20" ht="30.75">
      <c r="A26" s="9"/>
      <c r="B26" s="25">
        <v>4</v>
      </c>
      <c r="C26" s="22" t="s">
        <v>175</v>
      </c>
      <c r="D26" s="22" t="s">
        <v>133</v>
      </c>
      <c r="E26" s="25" t="s">
        <v>133</v>
      </c>
      <c r="F26" s="11"/>
      <c r="H26" s="9"/>
      <c r="I26" s="25">
        <v>4</v>
      </c>
      <c r="J26" s="22" t="s">
        <v>148</v>
      </c>
      <c r="K26" s="22" t="s">
        <v>133</v>
      </c>
      <c r="L26" s="25" t="s">
        <v>133</v>
      </c>
      <c r="M26" s="11"/>
      <c r="O26" s="9"/>
      <c r="P26" s="25">
        <v>4</v>
      </c>
      <c r="Q26" s="22" t="s">
        <v>138</v>
      </c>
      <c r="R26" s="22" t="s">
        <v>133</v>
      </c>
      <c r="S26" s="25" t="s">
        <v>133</v>
      </c>
      <c r="T26" s="11"/>
    </row>
    <row r="27" spans="1:20" ht="33.75" thickBot="1">
      <c r="A27" s="12"/>
      <c r="B27" s="23"/>
      <c r="C27" s="24"/>
      <c r="D27" s="24"/>
      <c r="E27" s="24"/>
      <c r="F27" s="13"/>
      <c r="H27" s="12"/>
      <c r="I27" s="23"/>
      <c r="J27" s="24"/>
      <c r="K27" s="24"/>
      <c r="L27" s="24"/>
      <c r="M27" s="13"/>
      <c r="O27" s="12"/>
      <c r="P27" s="23"/>
      <c r="Q27" s="24"/>
      <c r="R27" s="24"/>
      <c r="S27" s="24"/>
      <c r="T27" s="13"/>
    </row>
    <row r="28" spans="1:20" ht="15.75" thickBot="1"/>
    <row r="29" spans="1:20" ht="35.25">
      <c r="A29" s="6"/>
      <c r="B29" s="17"/>
      <c r="C29" s="7"/>
      <c r="D29" s="21" t="s">
        <v>132</v>
      </c>
      <c r="E29" s="7"/>
      <c r="F29" s="8"/>
      <c r="H29" s="6"/>
      <c r="I29" s="17"/>
      <c r="J29" s="7"/>
      <c r="K29" s="21" t="s">
        <v>132</v>
      </c>
      <c r="L29" s="7"/>
      <c r="M29" s="8"/>
      <c r="O29" s="6"/>
      <c r="P29" s="17"/>
      <c r="Q29" s="7"/>
      <c r="R29" s="21" t="s">
        <v>132</v>
      </c>
      <c r="S29" s="7"/>
      <c r="T29" s="8"/>
    </row>
    <row r="30" spans="1:20" ht="30.75">
      <c r="A30" s="9"/>
      <c r="B30" s="25">
        <v>1</v>
      </c>
      <c r="C30" s="22" t="s">
        <v>172</v>
      </c>
      <c r="D30" s="22" t="s">
        <v>173</v>
      </c>
      <c r="E30" s="25" t="s">
        <v>224</v>
      </c>
      <c r="F30" s="11"/>
      <c r="H30" s="9"/>
      <c r="I30" s="25">
        <v>1</v>
      </c>
      <c r="J30" s="22" t="s">
        <v>190</v>
      </c>
      <c r="K30" s="22" t="s">
        <v>133</v>
      </c>
      <c r="L30" s="25" t="s">
        <v>133</v>
      </c>
      <c r="M30" s="11"/>
      <c r="O30" s="9"/>
      <c r="P30" s="25">
        <v>1</v>
      </c>
      <c r="Q30" s="22" t="s">
        <v>181</v>
      </c>
      <c r="R30" s="22" t="s">
        <v>133</v>
      </c>
      <c r="S30" s="25" t="s">
        <v>133</v>
      </c>
      <c r="T30" s="11"/>
    </row>
    <row r="31" spans="1:20" ht="30.75">
      <c r="A31" s="9"/>
      <c r="B31" s="25">
        <v>2</v>
      </c>
      <c r="C31" s="22" t="s">
        <v>215</v>
      </c>
      <c r="D31" s="22" t="s">
        <v>216</v>
      </c>
      <c r="E31" s="25" t="s">
        <v>224</v>
      </c>
      <c r="F31" s="11"/>
      <c r="H31" s="9"/>
      <c r="I31" s="25">
        <v>2</v>
      </c>
      <c r="J31" s="22" t="s">
        <v>191</v>
      </c>
      <c r="K31" s="22" t="s">
        <v>133</v>
      </c>
      <c r="L31" s="25" t="s">
        <v>133</v>
      </c>
      <c r="M31" s="11"/>
      <c r="O31" s="9"/>
      <c r="P31" s="25">
        <v>2</v>
      </c>
      <c r="Q31" s="22" t="s">
        <v>193</v>
      </c>
      <c r="R31" s="22" t="s">
        <v>133</v>
      </c>
      <c r="S31" s="25" t="s">
        <v>133</v>
      </c>
      <c r="T31" s="11"/>
    </row>
    <row r="32" spans="1:20" ht="30.75">
      <c r="A32" s="9"/>
      <c r="B32" s="25">
        <v>3</v>
      </c>
      <c r="C32" s="22" t="s">
        <v>151</v>
      </c>
      <c r="D32" s="22" t="s">
        <v>133</v>
      </c>
      <c r="E32" s="25" t="s">
        <v>133</v>
      </c>
      <c r="F32" s="11"/>
      <c r="H32" s="9"/>
      <c r="I32" s="25">
        <v>3</v>
      </c>
      <c r="J32" s="22" t="s">
        <v>151</v>
      </c>
      <c r="K32" s="22" t="s">
        <v>133</v>
      </c>
      <c r="L32" s="25" t="s">
        <v>133</v>
      </c>
      <c r="M32" s="11"/>
      <c r="O32" s="9"/>
      <c r="P32" s="25">
        <v>3</v>
      </c>
      <c r="Q32" s="22" t="s">
        <v>177</v>
      </c>
      <c r="R32" s="22" t="s">
        <v>133</v>
      </c>
      <c r="S32" s="25" t="s">
        <v>133</v>
      </c>
      <c r="T32" s="11"/>
    </row>
    <row r="33" spans="1:20" ht="30.75">
      <c r="A33" s="9"/>
      <c r="B33" s="25">
        <v>4</v>
      </c>
      <c r="C33" s="22" t="s">
        <v>156</v>
      </c>
      <c r="D33" s="22" t="s">
        <v>133</v>
      </c>
      <c r="E33" s="25" t="s">
        <v>133</v>
      </c>
      <c r="F33" s="11"/>
      <c r="H33" s="9"/>
      <c r="I33" s="25">
        <v>4</v>
      </c>
      <c r="J33" s="22" t="s">
        <v>180</v>
      </c>
      <c r="K33" s="22" t="s">
        <v>133</v>
      </c>
      <c r="L33" s="25" t="s">
        <v>133</v>
      </c>
      <c r="M33" s="11"/>
      <c r="O33" s="9"/>
      <c r="P33" s="25">
        <v>4</v>
      </c>
      <c r="Q33" s="22" t="s">
        <v>161</v>
      </c>
      <c r="R33" s="22" t="s">
        <v>133</v>
      </c>
      <c r="S33" s="25" t="s">
        <v>133</v>
      </c>
      <c r="T33" s="11"/>
    </row>
    <row r="34" spans="1:20" ht="33.75" thickBot="1">
      <c r="A34" s="12"/>
      <c r="B34" s="23"/>
      <c r="C34" s="24"/>
      <c r="D34" s="24"/>
      <c r="E34" s="24"/>
      <c r="F34" s="13"/>
      <c r="H34" s="12"/>
      <c r="I34" s="23"/>
      <c r="J34" s="24"/>
      <c r="K34" s="24"/>
      <c r="L34" s="24"/>
      <c r="M34" s="13"/>
      <c r="O34" s="12"/>
      <c r="P34" s="23"/>
      <c r="Q34" s="24"/>
      <c r="R34" s="24"/>
      <c r="S34" s="24"/>
      <c r="T34" s="13"/>
    </row>
    <row r="35" spans="1:20" ht="15.75" thickBot="1"/>
    <row r="36" spans="1:20" ht="35.25">
      <c r="A36" s="6"/>
      <c r="B36" s="17"/>
      <c r="C36" s="7"/>
      <c r="D36" s="21" t="s">
        <v>132</v>
      </c>
      <c r="E36" s="7"/>
      <c r="F36" s="8"/>
      <c r="H36" s="6"/>
      <c r="I36" s="17"/>
      <c r="J36" s="7"/>
      <c r="K36" s="21" t="s">
        <v>132</v>
      </c>
      <c r="L36" s="7"/>
      <c r="M36" s="8"/>
      <c r="O36" s="6"/>
      <c r="P36" s="17"/>
      <c r="Q36" s="7"/>
      <c r="R36" s="21" t="s">
        <v>132</v>
      </c>
      <c r="S36" s="7"/>
      <c r="T36" s="8"/>
    </row>
    <row r="37" spans="1:20" ht="30.75">
      <c r="A37" s="9"/>
      <c r="B37" s="25">
        <v>1</v>
      </c>
      <c r="C37" s="22" t="s">
        <v>211</v>
      </c>
      <c r="D37" s="22" t="s">
        <v>133</v>
      </c>
      <c r="E37" s="25" t="s">
        <v>133</v>
      </c>
      <c r="F37" s="11"/>
      <c r="H37" s="9"/>
      <c r="I37" s="25">
        <v>1</v>
      </c>
      <c r="J37" s="22" t="s">
        <v>240</v>
      </c>
      <c r="K37" s="22" t="s">
        <v>227</v>
      </c>
      <c r="L37" s="25" t="s">
        <v>224</v>
      </c>
      <c r="M37" s="11"/>
      <c r="O37" s="9"/>
      <c r="P37" s="25">
        <v>1</v>
      </c>
      <c r="Q37" s="22" t="s">
        <v>205</v>
      </c>
      <c r="R37" s="22" t="s">
        <v>133</v>
      </c>
      <c r="S37" s="25" t="s">
        <v>133</v>
      </c>
      <c r="T37" s="11"/>
    </row>
    <row r="38" spans="1:20" ht="30.75">
      <c r="A38" s="9"/>
      <c r="B38" s="25">
        <v>2</v>
      </c>
      <c r="C38" s="22" t="s">
        <v>189</v>
      </c>
      <c r="D38" s="22" t="s">
        <v>133</v>
      </c>
      <c r="E38" s="25" t="s">
        <v>133</v>
      </c>
      <c r="F38" s="11"/>
      <c r="H38" s="9"/>
      <c r="I38" s="25">
        <v>2</v>
      </c>
      <c r="J38" s="22" t="s">
        <v>139</v>
      </c>
      <c r="K38" s="22" t="s">
        <v>133</v>
      </c>
      <c r="L38" s="25" t="s">
        <v>133</v>
      </c>
      <c r="M38" s="11"/>
      <c r="O38" s="9"/>
      <c r="P38" s="25">
        <v>2</v>
      </c>
      <c r="Q38" s="22" t="s">
        <v>162</v>
      </c>
      <c r="R38" s="22" t="s">
        <v>133</v>
      </c>
      <c r="S38" s="25" t="s">
        <v>133</v>
      </c>
      <c r="T38" s="11"/>
    </row>
    <row r="39" spans="1:20" ht="30.75">
      <c r="A39" s="9"/>
      <c r="B39" s="25">
        <v>3</v>
      </c>
      <c r="C39" s="22" t="s">
        <v>168</v>
      </c>
      <c r="D39" s="22" t="s">
        <v>133</v>
      </c>
      <c r="E39" s="25" t="s">
        <v>133</v>
      </c>
      <c r="F39" s="11"/>
      <c r="H39" s="9"/>
      <c r="I39" s="25">
        <v>3</v>
      </c>
      <c r="J39" s="22" t="s">
        <v>151</v>
      </c>
      <c r="K39" s="22" t="s">
        <v>133</v>
      </c>
      <c r="L39" s="25" t="s">
        <v>133</v>
      </c>
      <c r="M39" s="11"/>
      <c r="O39" s="9"/>
      <c r="P39" s="25">
        <v>3</v>
      </c>
      <c r="Q39" s="22" t="s">
        <v>186</v>
      </c>
      <c r="R39" s="22" t="s">
        <v>187</v>
      </c>
      <c r="S39" s="25" t="s">
        <v>224</v>
      </c>
      <c r="T39" s="11"/>
    </row>
    <row r="40" spans="1:20" ht="30.75">
      <c r="A40" s="9"/>
      <c r="B40" s="25">
        <v>4</v>
      </c>
      <c r="C40" s="22" t="s">
        <v>175</v>
      </c>
      <c r="D40" s="22" t="s">
        <v>133</v>
      </c>
      <c r="E40" s="25" t="s">
        <v>133</v>
      </c>
      <c r="F40" s="11"/>
      <c r="H40" s="9"/>
      <c r="I40" s="25">
        <v>4</v>
      </c>
      <c r="J40" s="22" t="s">
        <v>204</v>
      </c>
      <c r="K40" s="22" t="s">
        <v>133</v>
      </c>
      <c r="L40" s="25" t="s">
        <v>133</v>
      </c>
      <c r="M40" s="11"/>
      <c r="O40" s="9"/>
      <c r="P40" s="25">
        <v>4</v>
      </c>
      <c r="Q40" s="22" t="s">
        <v>138</v>
      </c>
      <c r="R40" s="22" t="s">
        <v>133</v>
      </c>
      <c r="S40" s="25" t="s">
        <v>133</v>
      </c>
      <c r="T40" s="11"/>
    </row>
    <row r="41" spans="1:20" ht="33.75" thickBot="1">
      <c r="A41" s="12"/>
      <c r="B41" s="23"/>
      <c r="C41" s="24"/>
      <c r="D41" s="24"/>
      <c r="E41" s="24"/>
      <c r="F41" s="13"/>
      <c r="H41" s="12"/>
      <c r="I41" s="23"/>
      <c r="J41" s="24"/>
      <c r="K41" s="24"/>
      <c r="L41" s="24"/>
      <c r="M41" s="13"/>
      <c r="O41" s="12"/>
      <c r="P41" s="23"/>
      <c r="Q41" s="24"/>
      <c r="R41" s="24"/>
      <c r="S41" s="24"/>
      <c r="T41" s="13"/>
    </row>
    <row r="42" spans="1:20" ht="15.75" thickBot="1"/>
    <row r="43" spans="1:20" ht="35.25">
      <c r="A43" s="6"/>
      <c r="B43" s="17"/>
      <c r="C43" s="7"/>
      <c r="D43" s="21" t="s">
        <v>132</v>
      </c>
      <c r="E43" s="7"/>
      <c r="F43" s="8"/>
      <c r="H43" s="6"/>
      <c r="I43" s="17"/>
      <c r="J43" s="7"/>
      <c r="K43" s="21" t="s">
        <v>132</v>
      </c>
      <c r="L43" s="7"/>
      <c r="M43" s="8"/>
      <c r="O43" s="6"/>
      <c r="P43" s="17"/>
      <c r="Q43" s="7"/>
      <c r="R43" s="21" t="s">
        <v>132</v>
      </c>
      <c r="S43" s="7"/>
      <c r="T43" s="8"/>
    </row>
    <row r="44" spans="1:20" ht="30.75">
      <c r="A44" s="9"/>
      <c r="B44" s="25">
        <v>1</v>
      </c>
      <c r="C44" s="22" t="s">
        <v>232</v>
      </c>
      <c r="D44" s="22" t="s">
        <v>133</v>
      </c>
      <c r="E44" s="25" t="s">
        <v>133</v>
      </c>
      <c r="F44" s="11"/>
      <c r="H44" s="9"/>
      <c r="I44" s="25">
        <v>1</v>
      </c>
      <c r="J44" s="22" t="s">
        <v>241</v>
      </c>
      <c r="K44" s="22" t="s">
        <v>242</v>
      </c>
      <c r="L44" s="25" t="s">
        <v>224</v>
      </c>
      <c r="M44" s="11"/>
      <c r="O44" s="9"/>
      <c r="P44" s="25">
        <v>1</v>
      </c>
      <c r="Q44" s="22" t="s">
        <v>218</v>
      </c>
      <c r="R44" s="22" t="s">
        <v>133</v>
      </c>
      <c r="S44" s="25" t="s">
        <v>133</v>
      </c>
      <c r="T44" s="11"/>
    </row>
    <row r="45" spans="1:20" ht="30.75">
      <c r="A45" s="9"/>
      <c r="B45" s="25">
        <v>2</v>
      </c>
      <c r="C45" s="22" t="s">
        <v>213</v>
      </c>
      <c r="D45" s="22" t="s">
        <v>214</v>
      </c>
      <c r="E45" s="25" t="s">
        <v>224</v>
      </c>
      <c r="F45" s="11"/>
      <c r="H45" s="9"/>
      <c r="I45" s="25">
        <v>2</v>
      </c>
      <c r="J45" s="22" t="s">
        <v>191</v>
      </c>
      <c r="K45" s="22" t="s">
        <v>133</v>
      </c>
      <c r="L45" s="25" t="s">
        <v>133</v>
      </c>
      <c r="M45" s="11"/>
      <c r="O45" s="9"/>
      <c r="P45" s="25">
        <v>2</v>
      </c>
      <c r="Q45" s="22" t="s">
        <v>174</v>
      </c>
      <c r="R45" s="22" t="s">
        <v>133</v>
      </c>
      <c r="S45" s="25" t="s">
        <v>133</v>
      </c>
      <c r="T45" s="11"/>
    </row>
    <row r="46" spans="1:20" ht="30.75">
      <c r="A46" s="9"/>
      <c r="B46" s="25">
        <v>3</v>
      </c>
      <c r="C46" s="22" t="s">
        <v>146</v>
      </c>
      <c r="D46" s="22" t="s">
        <v>147</v>
      </c>
      <c r="E46" s="25" t="s">
        <v>224</v>
      </c>
      <c r="F46" s="11"/>
      <c r="H46" s="9"/>
      <c r="I46" s="25">
        <v>3</v>
      </c>
      <c r="J46" s="22" t="s">
        <v>177</v>
      </c>
      <c r="K46" s="22" t="s">
        <v>133</v>
      </c>
      <c r="L46" s="25" t="s">
        <v>133</v>
      </c>
      <c r="M46" s="11"/>
      <c r="O46" s="9"/>
      <c r="P46" s="25">
        <v>3</v>
      </c>
      <c r="Q46" s="22" t="s">
        <v>136</v>
      </c>
      <c r="R46" s="22" t="s">
        <v>137</v>
      </c>
      <c r="S46" s="25" t="s">
        <v>224</v>
      </c>
      <c r="T46" s="11"/>
    </row>
    <row r="47" spans="1:20" ht="30.75">
      <c r="A47" s="9"/>
      <c r="B47" s="25">
        <v>4</v>
      </c>
      <c r="C47" s="22" t="s">
        <v>175</v>
      </c>
      <c r="D47" s="22" t="s">
        <v>133</v>
      </c>
      <c r="E47" s="25" t="s">
        <v>133</v>
      </c>
      <c r="F47" s="11"/>
      <c r="H47" s="9"/>
      <c r="I47" s="25">
        <v>4</v>
      </c>
      <c r="J47" s="22" t="s">
        <v>204</v>
      </c>
      <c r="K47" s="22" t="s">
        <v>133</v>
      </c>
      <c r="L47" s="25" t="s">
        <v>133</v>
      </c>
      <c r="M47" s="11"/>
      <c r="O47" s="9"/>
      <c r="P47" s="25">
        <v>4</v>
      </c>
      <c r="Q47" s="22" t="s">
        <v>204</v>
      </c>
      <c r="R47" s="22" t="s">
        <v>133</v>
      </c>
      <c r="S47" s="25" t="s">
        <v>133</v>
      </c>
      <c r="T47" s="11"/>
    </row>
    <row r="48" spans="1:20" ht="33.75" thickBot="1">
      <c r="A48" s="12"/>
      <c r="B48" s="23"/>
      <c r="C48" s="24"/>
      <c r="D48" s="24"/>
      <c r="E48" s="24"/>
      <c r="F48" s="13"/>
      <c r="H48" s="12"/>
      <c r="I48" s="23"/>
      <c r="J48" s="24"/>
      <c r="K48" s="24"/>
      <c r="L48" s="24"/>
      <c r="M48" s="13"/>
      <c r="O48" s="12"/>
      <c r="P48" s="23"/>
      <c r="Q48" s="24"/>
      <c r="R48" s="24"/>
      <c r="S48" s="24"/>
      <c r="T48" s="13"/>
    </row>
    <row r="49" spans="1:20" ht="15.75" thickBot="1"/>
    <row r="50" spans="1:20" ht="35.25">
      <c r="A50" s="6"/>
      <c r="B50" s="17"/>
      <c r="C50" s="7"/>
      <c r="D50" s="21" t="s">
        <v>132</v>
      </c>
      <c r="E50" s="7"/>
      <c r="F50" s="8"/>
      <c r="H50" s="6"/>
      <c r="I50" s="17"/>
      <c r="J50" s="7"/>
      <c r="K50" s="21" t="s">
        <v>132</v>
      </c>
      <c r="L50" s="7"/>
      <c r="M50" s="8"/>
      <c r="O50" s="6"/>
      <c r="P50" s="17"/>
      <c r="Q50" s="7"/>
      <c r="R50" s="21" t="s">
        <v>132</v>
      </c>
      <c r="S50" s="7"/>
      <c r="T50" s="8"/>
    </row>
    <row r="51" spans="1:20" ht="30.75">
      <c r="A51" s="9"/>
      <c r="B51" s="25">
        <v>1</v>
      </c>
      <c r="C51" s="22" t="s">
        <v>206</v>
      </c>
      <c r="D51" s="22" t="s">
        <v>133</v>
      </c>
      <c r="E51" s="25" t="s">
        <v>133</v>
      </c>
      <c r="F51" s="11"/>
      <c r="H51" s="9"/>
      <c r="I51" s="25">
        <v>1</v>
      </c>
      <c r="J51" s="22" t="s">
        <v>178</v>
      </c>
      <c r="K51" s="22" t="s">
        <v>111</v>
      </c>
      <c r="L51" s="25" t="s">
        <v>224</v>
      </c>
      <c r="M51" s="11"/>
      <c r="O51" s="9"/>
      <c r="P51" s="25">
        <v>1</v>
      </c>
      <c r="Q51" s="22" t="s">
        <v>185</v>
      </c>
      <c r="R51" s="22" t="s">
        <v>133</v>
      </c>
      <c r="S51" s="25" t="s">
        <v>133</v>
      </c>
      <c r="T51" s="11"/>
    </row>
    <row r="52" spans="1:20" ht="30.75">
      <c r="A52" s="9"/>
      <c r="B52" s="25">
        <v>2</v>
      </c>
      <c r="C52" s="22" t="s">
        <v>134</v>
      </c>
      <c r="D52" s="22" t="s">
        <v>135</v>
      </c>
      <c r="E52" s="25" t="s">
        <v>224</v>
      </c>
      <c r="F52" s="11"/>
      <c r="H52" s="9"/>
      <c r="I52" s="25">
        <v>2</v>
      </c>
      <c r="J52" s="22" t="s">
        <v>196</v>
      </c>
      <c r="K52" s="22" t="s">
        <v>133</v>
      </c>
      <c r="L52" s="25" t="s">
        <v>133</v>
      </c>
      <c r="M52" s="11"/>
      <c r="O52" s="9"/>
      <c r="P52" s="25">
        <v>2</v>
      </c>
      <c r="Q52" s="22" t="s">
        <v>183</v>
      </c>
      <c r="R52" s="22" t="s">
        <v>133</v>
      </c>
      <c r="S52" s="25" t="s">
        <v>133</v>
      </c>
      <c r="T52" s="11"/>
    </row>
    <row r="53" spans="1:20" ht="30.75">
      <c r="A53" s="9"/>
      <c r="B53" s="25">
        <v>3</v>
      </c>
      <c r="C53" s="22" t="s">
        <v>163</v>
      </c>
      <c r="D53" s="22" t="s">
        <v>133</v>
      </c>
      <c r="E53" s="25" t="s">
        <v>133</v>
      </c>
      <c r="F53" s="11"/>
      <c r="H53" s="9"/>
      <c r="I53" s="25">
        <v>3</v>
      </c>
      <c r="J53" s="22" t="s">
        <v>186</v>
      </c>
      <c r="K53" s="22" t="s">
        <v>187</v>
      </c>
      <c r="L53" s="25" t="s">
        <v>224</v>
      </c>
      <c r="M53" s="11"/>
      <c r="O53" s="9"/>
      <c r="P53" s="25">
        <v>3</v>
      </c>
      <c r="Q53" s="22" t="s">
        <v>136</v>
      </c>
      <c r="R53" s="22" t="s">
        <v>137</v>
      </c>
      <c r="S53" s="25" t="s">
        <v>224</v>
      </c>
      <c r="T53" s="11"/>
    </row>
    <row r="54" spans="1:20" ht="30.75">
      <c r="A54" s="9"/>
      <c r="B54" s="25">
        <v>4</v>
      </c>
      <c r="C54" s="22" t="s">
        <v>200</v>
      </c>
      <c r="D54" s="22" t="s">
        <v>133</v>
      </c>
      <c r="E54" s="25" t="s">
        <v>133</v>
      </c>
      <c r="F54" s="11"/>
      <c r="H54" s="9"/>
      <c r="I54" s="25">
        <v>4</v>
      </c>
      <c r="J54" s="22" t="s">
        <v>180</v>
      </c>
      <c r="K54" s="22" t="s">
        <v>133</v>
      </c>
      <c r="L54" s="25" t="s">
        <v>133</v>
      </c>
      <c r="M54" s="11"/>
      <c r="O54" s="9"/>
      <c r="P54" s="25">
        <v>4</v>
      </c>
      <c r="Q54" s="22" t="s">
        <v>175</v>
      </c>
      <c r="R54" s="22" t="s">
        <v>133</v>
      </c>
      <c r="S54" s="25" t="s">
        <v>133</v>
      </c>
      <c r="T54" s="11"/>
    </row>
    <row r="55" spans="1:20" ht="33.75" thickBot="1">
      <c r="A55" s="12"/>
      <c r="B55" s="23"/>
      <c r="C55" s="24"/>
      <c r="D55" s="24"/>
      <c r="E55" s="24"/>
      <c r="F55" s="13"/>
      <c r="H55" s="12"/>
      <c r="I55" s="23"/>
      <c r="J55" s="24"/>
      <c r="K55" s="24"/>
      <c r="L55" s="24"/>
      <c r="M55" s="13"/>
      <c r="O55" s="12"/>
      <c r="P55" s="23"/>
      <c r="Q55" s="24"/>
      <c r="R55" s="24"/>
      <c r="S55" s="24"/>
      <c r="T55" s="13"/>
    </row>
    <row r="56" spans="1:20" ht="15.75" thickBot="1"/>
    <row r="57" spans="1:20" ht="35.25">
      <c r="A57" s="6"/>
      <c r="B57" s="17"/>
      <c r="C57" s="7"/>
      <c r="D57" s="21" t="s">
        <v>132</v>
      </c>
      <c r="E57" s="7"/>
      <c r="F57" s="8"/>
      <c r="H57" s="6"/>
      <c r="I57" s="17"/>
      <c r="J57" s="7"/>
      <c r="K57" s="21" t="s">
        <v>132</v>
      </c>
      <c r="L57" s="7"/>
      <c r="M57" s="8"/>
      <c r="O57" s="6"/>
      <c r="P57" s="17"/>
      <c r="Q57" s="7"/>
      <c r="R57" s="21" t="s">
        <v>132</v>
      </c>
      <c r="S57" s="7"/>
      <c r="T57" s="8"/>
    </row>
    <row r="58" spans="1:20" ht="30.75">
      <c r="A58" s="9"/>
      <c r="B58" s="25">
        <v>1</v>
      </c>
      <c r="C58" s="22" t="s">
        <v>157</v>
      </c>
      <c r="D58" s="22" t="s">
        <v>158</v>
      </c>
      <c r="E58" s="25" t="s">
        <v>224</v>
      </c>
      <c r="F58" s="11"/>
      <c r="H58" s="9"/>
      <c r="I58" s="25">
        <v>1</v>
      </c>
      <c r="J58" s="22" t="s">
        <v>223</v>
      </c>
      <c r="K58" s="22" t="s">
        <v>133</v>
      </c>
      <c r="L58" s="25" t="s">
        <v>133</v>
      </c>
      <c r="M58" s="11"/>
      <c r="O58" s="9"/>
      <c r="P58" s="25">
        <v>1</v>
      </c>
      <c r="Q58" s="22" t="s">
        <v>176</v>
      </c>
      <c r="R58" s="22" t="s">
        <v>133</v>
      </c>
      <c r="S58" s="25" t="s">
        <v>133</v>
      </c>
      <c r="T58" s="11"/>
    </row>
    <row r="59" spans="1:20" ht="30.75">
      <c r="A59" s="9"/>
      <c r="B59" s="25">
        <v>2</v>
      </c>
      <c r="C59" s="22" t="s">
        <v>134</v>
      </c>
      <c r="D59" s="22" t="s">
        <v>135</v>
      </c>
      <c r="E59" s="25" t="s">
        <v>224</v>
      </c>
      <c r="F59" s="11"/>
      <c r="H59" s="9"/>
      <c r="I59" s="25">
        <v>2</v>
      </c>
      <c r="J59" s="22" t="s">
        <v>139</v>
      </c>
      <c r="K59" s="22" t="s">
        <v>133</v>
      </c>
      <c r="L59" s="25" t="s">
        <v>133</v>
      </c>
      <c r="M59" s="11"/>
      <c r="O59" s="9"/>
      <c r="P59" s="25">
        <v>2</v>
      </c>
      <c r="Q59" s="22" t="s">
        <v>155</v>
      </c>
      <c r="R59" s="22" t="s">
        <v>133</v>
      </c>
      <c r="S59" s="25" t="s">
        <v>133</v>
      </c>
      <c r="T59" s="11"/>
    </row>
    <row r="60" spans="1:20" ht="30.75">
      <c r="A60" s="9"/>
      <c r="B60" s="25">
        <v>3</v>
      </c>
      <c r="C60" s="22" t="s">
        <v>168</v>
      </c>
      <c r="D60" s="22" t="s">
        <v>133</v>
      </c>
      <c r="E60" s="25" t="s">
        <v>133</v>
      </c>
      <c r="F60" s="11"/>
      <c r="H60" s="9"/>
      <c r="I60" s="25">
        <v>3</v>
      </c>
      <c r="J60" s="22" t="s">
        <v>186</v>
      </c>
      <c r="K60" s="22" t="s">
        <v>187</v>
      </c>
      <c r="L60" s="25" t="s">
        <v>224</v>
      </c>
      <c r="M60" s="11"/>
      <c r="O60" s="9"/>
      <c r="P60" s="25">
        <v>3</v>
      </c>
      <c r="Q60" s="22" t="s">
        <v>140</v>
      </c>
      <c r="R60" s="22" t="s">
        <v>141</v>
      </c>
      <c r="S60" s="25" t="s">
        <v>224</v>
      </c>
      <c r="T60" s="11"/>
    </row>
    <row r="61" spans="1:20" ht="30.75">
      <c r="A61" s="9"/>
      <c r="B61" s="25">
        <v>4</v>
      </c>
      <c r="C61" s="22" t="s">
        <v>204</v>
      </c>
      <c r="D61" s="22" t="s">
        <v>133</v>
      </c>
      <c r="E61" s="25" t="s">
        <v>133</v>
      </c>
      <c r="F61" s="11"/>
      <c r="H61" s="9"/>
      <c r="I61" s="25">
        <v>4</v>
      </c>
      <c r="J61" s="22" t="s">
        <v>148</v>
      </c>
      <c r="K61" s="22" t="s">
        <v>133</v>
      </c>
      <c r="L61" s="25" t="s">
        <v>133</v>
      </c>
      <c r="M61" s="11"/>
      <c r="O61" s="9"/>
      <c r="P61" s="25">
        <v>4</v>
      </c>
      <c r="Q61" s="22" t="s">
        <v>180</v>
      </c>
      <c r="R61" s="22" t="s">
        <v>133</v>
      </c>
      <c r="S61" s="25" t="s">
        <v>133</v>
      </c>
      <c r="T61" s="11"/>
    </row>
    <row r="62" spans="1:20" ht="33.75" thickBot="1">
      <c r="A62" s="12"/>
      <c r="B62" s="23"/>
      <c r="C62" s="24"/>
      <c r="D62" s="24"/>
      <c r="E62" s="24"/>
      <c r="F62" s="13"/>
      <c r="H62" s="12"/>
      <c r="I62" s="23"/>
      <c r="J62" s="24"/>
      <c r="K62" s="24"/>
      <c r="L62" s="24"/>
      <c r="M62" s="13"/>
      <c r="O62" s="12"/>
      <c r="P62" s="23"/>
      <c r="Q62" s="24"/>
      <c r="R62" s="24"/>
      <c r="S62" s="24"/>
      <c r="T62" s="13"/>
    </row>
    <row r="63" spans="1:20" ht="15.75" thickBot="1"/>
    <row r="64" spans="1:20" ht="35.25">
      <c r="A64" s="6"/>
      <c r="B64" s="17"/>
      <c r="C64" s="7"/>
      <c r="D64" s="21" t="s">
        <v>132</v>
      </c>
      <c r="E64" s="7"/>
      <c r="F64" s="8"/>
      <c r="H64" s="6"/>
      <c r="I64" s="17"/>
      <c r="J64" s="7"/>
      <c r="K64" s="21" t="s">
        <v>132</v>
      </c>
      <c r="L64" s="7"/>
      <c r="M64" s="8"/>
      <c r="O64" s="6"/>
      <c r="P64" s="17"/>
      <c r="Q64" s="7"/>
      <c r="R64" s="21" t="s">
        <v>132</v>
      </c>
      <c r="S64" s="7"/>
      <c r="T64" s="8"/>
    </row>
    <row r="65" spans="1:20" ht="30.75">
      <c r="A65" s="9"/>
      <c r="B65" s="25">
        <v>1</v>
      </c>
      <c r="C65" s="22" t="s">
        <v>233</v>
      </c>
      <c r="D65" s="22" t="s">
        <v>133</v>
      </c>
      <c r="E65" s="25" t="s">
        <v>133</v>
      </c>
      <c r="F65" s="11"/>
      <c r="H65" s="9"/>
      <c r="I65" s="25">
        <v>1</v>
      </c>
      <c r="J65" s="22" t="s">
        <v>243</v>
      </c>
      <c r="K65" s="22" t="s">
        <v>119</v>
      </c>
      <c r="L65" s="25" t="s">
        <v>224</v>
      </c>
      <c r="M65" s="11"/>
      <c r="O65" s="9"/>
      <c r="P65" s="25">
        <v>1</v>
      </c>
      <c r="Q65" s="22" t="s">
        <v>157</v>
      </c>
      <c r="R65" s="22" t="s">
        <v>158</v>
      </c>
      <c r="S65" s="25" t="s">
        <v>224</v>
      </c>
      <c r="T65" s="11"/>
    </row>
    <row r="66" spans="1:20" ht="30.75">
      <c r="A66" s="9"/>
      <c r="B66" s="25">
        <v>2</v>
      </c>
      <c r="C66" s="22" t="s">
        <v>144</v>
      </c>
      <c r="D66" s="22" t="s">
        <v>145</v>
      </c>
      <c r="E66" s="25" t="s">
        <v>224</v>
      </c>
      <c r="F66" s="11"/>
      <c r="H66" s="9"/>
      <c r="I66" s="25">
        <v>2</v>
      </c>
      <c r="J66" s="22" t="s">
        <v>164</v>
      </c>
      <c r="K66" s="22" t="s">
        <v>133</v>
      </c>
      <c r="L66" s="25" t="s">
        <v>133</v>
      </c>
      <c r="M66" s="11"/>
      <c r="O66" s="9"/>
      <c r="P66" s="25">
        <v>2</v>
      </c>
      <c r="Q66" s="22" t="s">
        <v>162</v>
      </c>
      <c r="R66" s="22" t="s">
        <v>133</v>
      </c>
      <c r="S66" s="25" t="s">
        <v>133</v>
      </c>
      <c r="T66" s="11"/>
    </row>
    <row r="67" spans="1:20" ht="30.75">
      <c r="A67" s="9"/>
      <c r="B67" s="25">
        <v>3</v>
      </c>
      <c r="C67" s="22" t="s">
        <v>171</v>
      </c>
      <c r="D67" s="22" t="s">
        <v>133</v>
      </c>
      <c r="E67" s="25" t="s">
        <v>133</v>
      </c>
      <c r="F67" s="11"/>
      <c r="H67" s="9"/>
      <c r="I67" s="25">
        <v>3</v>
      </c>
      <c r="J67" s="22" t="s">
        <v>163</v>
      </c>
      <c r="K67" s="22" t="s">
        <v>133</v>
      </c>
      <c r="L67" s="25" t="s">
        <v>133</v>
      </c>
      <c r="M67" s="11"/>
      <c r="O67" s="9"/>
      <c r="P67" s="25">
        <v>3</v>
      </c>
      <c r="Q67" s="22" t="s">
        <v>140</v>
      </c>
      <c r="R67" s="22" t="s">
        <v>141</v>
      </c>
      <c r="S67" s="25" t="s">
        <v>224</v>
      </c>
      <c r="T67" s="11"/>
    </row>
    <row r="68" spans="1:20" ht="30.75">
      <c r="A68" s="9"/>
      <c r="B68" s="25">
        <v>4</v>
      </c>
      <c r="C68" s="22" t="s">
        <v>165</v>
      </c>
      <c r="D68" s="22" t="s">
        <v>166</v>
      </c>
      <c r="E68" s="25" t="s">
        <v>224</v>
      </c>
      <c r="F68" s="11"/>
      <c r="H68" s="9"/>
      <c r="I68" s="25">
        <v>4</v>
      </c>
      <c r="J68" s="22" t="s">
        <v>152</v>
      </c>
      <c r="K68" s="22" t="s">
        <v>133</v>
      </c>
      <c r="L68" s="25" t="s">
        <v>133</v>
      </c>
      <c r="M68" s="11"/>
      <c r="O68" s="9"/>
      <c r="P68" s="25">
        <v>4</v>
      </c>
      <c r="Q68" s="22" t="s">
        <v>175</v>
      </c>
      <c r="R68" s="22" t="s">
        <v>133</v>
      </c>
      <c r="S68" s="25" t="s">
        <v>133</v>
      </c>
      <c r="T68" s="11"/>
    </row>
    <row r="69" spans="1:20" ht="33.75" thickBot="1">
      <c r="A69" s="12"/>
      <c r="B69" s="23"/>
      <c r="C69" s="24"/>
      <c r="D69" s="24"/>
      <c r="E69" s="24"/>
      <c r="F69" s="13"/>
      <c r="H69" s="12"/>
      <c r="I69" s="23"/>
      <c r="J69" s="24"/>
      <c r="K69" s="24"/>
      <c r="L69" s="24"/>
      <c r="M69" s="13"/>
      <c r="O69" s="12"/>
      <c r="P69" s="23"/>
      <c r="Q69" s="24"/>
      <c r="R69" s="24"/>
      <c r="S69" s="24"/>
      <c r="T69" s="13"/>
    </row>
    <row r="70" spans="1:20" ht="15.75" thickBot="1"/>
    <row r="71" spans="1:20" ht="35.25">
      <c r="A71" s="6"/>
      <c r="B71" s="17"/>
      <c r="C71" s="7"/>
      <c r="D71" s="21" t="s">
        <v>132</v>
      </c>
      <c r="E71" s="7"/>
      <c r="F71" s="8"/>
      <c r="H71" s="6"/>
      <c r="I71" s="17"/>
      <c r="J71" s="7"/>
      <c r="K71" s="21" t="s">
        <v>132</v>
      </c>
      <c r="L71" s="7"/>
      <c r="M71" s="8"/>
      <c r="O71" s="6"/>
      <c r="P71" s="17"/>
      <c r="Q71" s="7"/>
      <c r="R71" s="21" t="s">
        <v>132</v>
      </c>
      <c r="S71" s="7"/>
      <c r="T71" s="8"/>
    </row>
    <row r="72" spans="1:20" ht="30.75">
      <c r="A72" s="9"/>
      <c r="B72" s="25">
        <v>1</v>
      </c>
      <c r="C72" s="22" t="s">
        <v>209</v>
      </c>
      <c r="D72" s="22" t="s">
        <v>210</v>
      </c>
      <c r="E72" s="25" t="s">
        <v>224</v>
      </c>
      <c r="F72" s="11"/>
      <c r="H72" s="9"/>
      <c r="I72" s="25">
        <v>1</v>
      </c>
      <c r="J72" s="22" t="s">
        <v>178</v>
      </c>
      <c r="K72" s="22" t="s">
        <v>111</v>
      </c>
      <c r="L72" s="25" t="s">
        <v>224</v>
      </c>
      <c r="M72" s="11"/>
      <c r="O72" s="9"/>
      <c r="P72" s="25">
        <v>1</v>
      </c>
      <c r="Q72" s="22" t="s">
        <v>167</v>
      </c>
      <c r="R72" s="22" t="s">
        <v>133</v>
      </c>
      <c r="S72" s="25" t="s">
        <v>133</v>
      </c>
      <c r="T72" s="11"/>
    </row>
    <row r="73" spans="1:20" ht="30.75">
      <c r="A73" s="9"/>
      <c r="B73" s="25">
        <v>2</v>
      </c>
      <c r="C73" s="22" t="s">
        <v>154</v>
      </c>
      <c r="D73" s="22" t="s">
        <v>133</v>
      </c>
      <c r="E73" s="25" t="s">
        <v>133</v>
      </c>
      <c r="F73" s="11"/>
      <c r="H73" s="9"/>
      <c r="I73" s="25">
        <v>2</v>
      </c>
      <c r="J73" s="22" t="s">
        <v>155</v>
      </c>
      <c r="K73" s="22" t="s">
        <v>133</v>
      </c>
      <c r="L73" s="25" t="s">
        <v>133</v>
      </c>
      <c r="M73" s="11"/>
      <c r="O73" s="9"/>
      <c r="P73" s="25">
        <v>2</v>
      </c>
      <c r="Q73" s="22" t="s">
        <v>196</v>
      </c>
      <c r="R73" s="22" t="s">
        <v>133</v>
      </c>
      <c r="S73" s="25" t="s">
        <v>133</v>
      </c>
      <c r="T73" s="11"/>
    </row>
    <row r="74" spans="1:20" ht="30.75">
      <c r="A74" s="9"/>
      <c r="B74" s="25">
        <v>3</v>
      </c>
      <c r="C74" s="22" t="s">
        <v>168</v>
      </c>
      <c r="D74" s="22" t="s">
        <v>133</v>
      </c>
      <c r="E74" s="25" t="s">
        <v>133</v>
      </c>
      <c r="F74" s="11"/>
      <c r="H74" s="9"/>
      <c r="I74" s="25">
        <v>3</v>
      </c>
      <c r="J74" s="22" t="s">
        <v>163</v>
      </c>
      <c r="K74" s="22" t="s">
        <v>133</v>
      </c>
      <c r="L74" s="25" t="s">
        <v>133</v>
      </c>
      <c r="M74" s="11"/>
      <c r="O74" s="9"/>
      <c r="P74" s="25">
        <v>3</v>
      </c>
      <c r="Q74" s="22" t="s">
        <v>163</v>
      </c>
      <c r="R74" s="22" t="s">
        <v>133</v>
      </c>
      <c r="S74" s="25" t="s">
        <v>133</v>
      </c>
      <c r="T74" s="11"/>
    </row>
    <row r="75" spans="1:20" ht="30.75">
      <c r="A75" s="9"/>
      <c r="B75" s="25">
        <v>4</v>
      </c>
      <c r="C75" s="22" t="s">
        <v>200</v>
      </c>
      <c r="D75" s="22" t="s">
        <v>133</v>
      </c>
      <c r="E75" s="25" t="s">
        <v>133</v>
      </c>
      <c r="F75" s="11"/>
      <c r="H75" s="9"/>
      <c r="I75" s="25">
        <v>4</v>
      </c>
      <c r="J75" s="22" t="s">
        <v>175</v>
      </c>
      <c r="K75" s="22" t="s">
        <v>133</v>
      </c>
      <c r="L75" s="25" t="s">
        <v>133</v>
      </c>
      <c r="M75" s="11"/>
      <c r="O75" s="9"/>
      <c r="P75" s="25">
        <v>4</v>
      </c>
      <c r="Q75" s="22" t="s">
        <v>188</v>
      </c>
      <c r="R75" s="22" t="s">
        <v>133</v>
      </c>
      <c r="S75" s="25" t="s">
        <v>133</v>
      </c>
      <c r="T75" s="11"/>
    </row>
    <row r="76" spans="1:20" ht="33.75" thickBot="1">
      <c r="A76" s="12"/>
      <c r="B76" s="23"/>
      <c r="C76" s="24"/>
      <c r="D76" s="24"/>
      <c r="E76" s="24"/>
      <c r="F76" s="13"/>
      <c r="H76" s="12"/>
      <c r="I76" s="23"/>
      <c r="J76" s="24"/>
      <c r="K76" s="24"/>
      <c r="L76" s="24"/>
      <c r="M76" s="13"/>
      <c r="O76" s="12"/>
      <c r="P76" s="23"/>
      <c r="Q76" s="24"/>
      <c r="R76" s="24"/>
      <c r="S76" s="24"/>
      <c r="T76" s="13"/>
    </row>
    <row r="77" spans="1:20" ht="15.75" thickBot="1"/>
    <row r="78" spans="1:20" ht="35.25">
      <c r="A78" s="6"/>
      <c r="B78" s="17"/>
      <c r="C78" s="7"/>
      <c r="D78" s="21" t="s">
        <v>132</v>
      </c>
      <c r="E78" s="7"/>
      <c r="F78" s="8"/>
      <c r="H78" s="6"/>
      <c r="I78" s="17"/>
      <c r="J78" s="7"/>
      <c r="K78" s="21" t="s">
        <v>132</v>
      </c>
      <c r="L78" s="7"/>
      <c r="M78" s="8"/>
      <c r="O78" s="6"/>
      <c r="P78" s="17"/>
      <c r="Q78" s="7"/>
      <c r="R78" s="21" t="s">
        <v>132</v>
      </c>
      <c r="S78" s="7"/>
      <c r="T78" s="8"/>
    </row>
    <row r="79" spans="1:20" ht="30.75">
      <c r="A79" s="9"/>
      <c r="B79" s="25">
        <v>1</v>
      </c>
      <c r="C79" s="22" t="s">
        <v>234</v>
      </c>
      <c r="D79" s="22" t="s">
        <v>133</v>
      </c>
      <c r="E79" s="25" t="s">
        <v>133</v>
      </c>
      <c r="F79" s="11"/>
      <c r="H79" s="9"/>
      <c r="I79" s="25">
        <v>1</v>
      </c>
      <c r="J79" s="22" t="s">
        <v>149</v>
      </c>
      <c r="K79" s="22" t="s">
        <v>133</v>
      </c>
      <c r="L79" s="25" t="s">
        <v>133</v>
      </c>
      <c r="M79" s="11"/>
      <c r="O79" s="9"/>
      <c r="P79" s="25">
        <v>1</v>
      </c>
      <c r="Q79" s="22" t="s">
        <v>182</v>
      </c>
      <c r="R79" s="22" t="s">
        <v>133</v>
      </c>
      <c r="S79" s="25" t="s">
        <v>133</v>
      </c>
      <c r="T79" s="11"/>
    </row>
    <row r="80" spans="1:20" ht="30.75">
      <c r="A80" s="9"/>
      <c r="B80" s="25">
        <v>2</v>
      </c>
      <c r="C80" s="22" t="s">
        <v>144</v>
      </c>
      <c r="D80" s="22" t="s">
        <v>145</v>
      </c>
      <c r="E80" s="25" t="s">
        <v>224</v>
      </c>
      <c r="F80" s="11"/>
      <c r="H80" s="9"/>
      <c r="I80" s="25">
        <v>2</v>
      </c>
      <c r="J80" s="22" t="s">
        <v>244</v>
      </c>
      <c r="K80" s="22" t="s">
        <v>133</v>
      </c>
      <c r="L80" s="25" t="s">
        <v>133</v>
      </c>
      <c r="M80" s="11"/>
      <c r="O80" s="9"/>
      <c r="P80" s="25">
        <v>2</v>
      </c>
      <c r="Q80" s="22" t="s">
        <v>179</v>
      </c>
      <c r="R80" s="22" t="s">
        <v>133</v>
      </c>
      <c r="S80" s="25" t="s">
        <v>133</v>
      </c>
      <c r="T80" s="11"/>
    </row>
    <row r="81" spans="1:20" ht="30.75">
      <c r="A81" s="9"/>
      <c r="B81" s="25">
        <v>3</v>
      </c>
      <c r="C81" s="22" t="s">
        <v>163</v>
      </c>
      <c r="D81" s="22" t="s">
        <v>133</v>
      </c>
      <c r="E81" s="25" t="s">
        <v>133</v>
      </c>
      <c r="F81" s="11"/>
      <c r="H81" s="9"/>
      <c r="I81" s="25">
        <v>3</v>
      </c>
      <c r="J81" s="22" t="s">
        <v>136</v>
      </c>
      <c r="K81" s="22" t="s">
        <v>137</v>
      </c>
      <c r="L81" s="25" t="s">
        <v>224</v>
      </c>
      <c r="M81" s="11"/>
      <c r="O81" s="9"/>
      <c r="P81" s="25">
        <v>3</v>
      </c>
      <c r="Q81" s="22" t="s">
        <v>136</v>
      </c>
      <c r="R81" s="22" t="s">
        <v>137</v>
      </c>
      <c r="S81" s="25" t="s">
        <v>224</v>
      </c>
      <c r="T81" s="11"/>
    </row>
    <row r="82" spans="1:20" ht="30.75">
      <c r="A82" s="9"/>
      <c r="B82" s="25">
        <v>4</v>
      </c>
      <c r="C82" s="22" t="s">
        <v>165</v>
      </c>
      <c r="D82" s="22" t="s">
        <v>166</v>
      </c>
      <c r="E82" s="25" t="s">
        <v>224</v>
      </c>
      <c r="F82" s="11"/>
      <c r="H82" s="9"/>
      <c r="I82" s="25">
        <v>4</v>
      </c>
      <c r="J82" s="22" t="s">
        <v>165</v>
      </c>
      <c r="K82" s="22" t="s">
        <v>166</v>
      </c>
      <c r="L82" s="25" t="s">
        <v>224</v>
      </c>
      <c r="M82" s="11"/>
      <c r="O82" s="9"/>
      <c r="P82" s="25">
        <v>4</v>
      </c>
      <c r="Q82" s="22" t="s">
        <v>138</v>
      </c>
      <c r="R82" s="22" t="s">
        <v>133</v>
      </c>
      <c r="S82" s="25" t="s">
        <v>133</v>
      </c>
      <c r="T82" s="11"/>
    </row>
    <row r="83" spans="1:20" ht="33.75" thickBot="1">
      <c r="A83" s="12"/>
      <c r="B83" s="23"/>
      <c r="C83" s="24"/>
      <c r="D83" s="24"/>
      <c r="E83" s="24"/>
      <c r="F83" s="13"/>
      <c r="H83" s="12"/>
      <c r="I83" s="23"/>
      <c r="J83" s="24"/>
      <c r="K83" s="24"/>
      <c r="L83" s="24"/>
      <c r="M83" s="13"/>
      <c r="O83" s="12"/>
      <c r="P83" s="23"/>
      <c r="Q83" s="24"/>
      <c r="R83" s="24"/>
      <c r="S83" s="24"/>
      <c r="T83" s="13"/>
    </row>
    <row r="84" spans="1:20" ht="15.75" thickBot="1"/>
    <row r="85" spans="1:20" ht="35.25">
      <c r="A85" s="6"/>
      <c r="B85" s="17"/>
      <c r="C85" s="7"/>
      <c r="D85" s="21" t="s">
        <v>132</v>
      </c>
      <c r="E85" s="7"/>
      <c r="F85" s="8"/>
      <c r="H85" s="6"/>
      <c r="I85" s="17"/>
      <c r="J85" s="7"/>
      <c r="K85" s="21" t="s">
        <v>132</v>
      </c>
      <c r="L85" s="7"/>
      <c r="M85" s="8"/>
      <c r="O85" s="6"/>
      <c r="P85" s="17"/>
      <c r="Q85" s="7"/>
      <c r="R85" s="21" t="s">
        <v>132</v>
      </c>
      <c r="S85" s="7"/>
      <c r="T85" s="8"/>
    </row>
    <row r="86" spans="1:20" ht="30.75">
      <c r="A86" s="9"/>
      <c r="B86" s="25">
        <v>1</v>
      </c>
      <c r="C86" s="22" t="s">
        <v>235</v>
      </c>
      <c r="D86" s="22" t="s">
        <v>133</v>
      </c>
      <c r="E86" s="25" t="s">
        <v>133</v>
      </c>
      <c r="F86" s="11"/>
      <c r="H86" s="9"/>
      <c r="I86" s="25">
        <v>1</v>
      </c>
      <c r="J86" s="22" t="s">
        <v>153</v>
      </c>
      <c r="K86" s="22" t="s">
        <v>133</v>
      </c>
      <c r="L86" s="25" t="s">
        <v>133</v>
      </c>
      <c r="M86" s="11"/>
      <c r="O86" s="9"/>
      <c r="P86" s="25">
        <v>1</v>
      </c>
      <c r="Q86" s="22" t="s">
        <v>251</v>
      </c>
      <c r="R86" s="22" t="s">
        <v>133</v>
      </c>
      <c r="S86" s="25" t="s">
        <v>133</v>
      </c>
      <c r="T86" s="11"/>
    </row>
    <row r="87" spans="1:20" ht="30.75">
      <c r="A87" s="9"/>
      <c r="B87" s="25">
        <v>2</v>
      </c>
      <c r="C87" s="22" t="s">
        <v>154</v>
      </c>
      <c r="D87" s="22" t="s">
        <v>133</v>
      </c>
      <c r="E87" s="25" t="s">
        <v>133</v>
      </c>
      <c r="F87" s="11"/>
      <c r="H87" s="9"/>
      <c r="I87" s="25">
        <v>2</v>
      </c>
      <c r="J87" s="22" t="s">
        <v>196</v>
      </c>
      <c r="K87" s="22" t="s">
        <v>133</v>
      </c>
      <c r="L87" s="25" t="s">
        <v>133</v>
      </c>
      <c r="M87" s="11"/>
      <c r="O87" s="9"/>
      <c r="P87" s="25">
        <v>2</v>
      </c>
      <c r="Q87" s="22" t="s">
        <v>155</v>
      </c>
      <c r="R87" s="22" t="s">
        <v>133</v>
      </c>
      <c r="S87" s="25" t="s">
        <v>133</v>
      </c>
      <c r="T87" s="11"/>
    </row>
    <row r="88" spans="1:20" ht="30.75">
      <c r="A88" s="9"/>
      <c r="B88" s="25">
        <v>3</v>
      </c>
      <c r="C88" s="22" t="s">
        <v>186</v>
      </c>
      <c r="D88" s="22" t="s">
        <v>187</v>
      </c>
      <c r="E88" s="25" t="s">
        <v>224</v>
      </c>
      <c r="F88" s="11"/>
      <c r="H88" s="9"/>
      <c r="I88" s="25">
        <v>3</v>
      </c>
      <c r="J88" s="22" t="s">
        <v>177</v>
      </c>
      <c r="K88" s="22" t="s">
        <v>133</v>
      </c>
      <c r="L88" s="25" t="s">
        <v>133</v>
      </c>
      <c r="M88" s="11"/>
      <c r="O88" s="9"/>
      <c r="P88" s="25">
        <v>3</v>
      </c>
      <c r="Q88" s="22" t="s">
        <v>146</v>
      </c>
      <c r="R88" s="22" t="s">
        <v>147</v>
      </c>
      <c r="S88" s="25" t="s">
        <v>224</v>
      </c>
      <c r="T88" s="11"/>
    </row>
    <row r="89" spans="1:20" ht="30.75">
      <c r="A89" s="9"/>
      <c r="B89" s="25">
        <v>4</v>
      </c>
      <c r="C89" s="22" t="s">
        <v>165</v>
      </c>
      <c r="D89" s="22" t="s">
        <v>166</v>
      </c>
      <c r="E89" s="25" t="s">
        <v>224</v>
      </c>
      <c r="F89" s="11"/>
      <c r="H89" s="9"/>
      <c r="I89" s="25">
        <v>4</v>
      </c>
      <c r="J89" s="22" t="s">
        <v>200</v>
      </c>
      <c r="K89" s="22" t="s">
        <v>133</v>
      </c>
      <c r="L89" s="25" t="s">
        <v>133</v>
      </c>
      <c r="M89" s="11"/>
      <c r="O89" s="9"/>
      <c r="P89" s="25">
        <v>4</v>
      </c>
      <c r="Q89" s="22" t="s">
        <v>138</v>
      </c>
      <c r="R89" s="22" t="s">
        <v>133</v>
      </c>
      <c r="S89" s="25" t="s">
        <v>133</v>
      </c>
      <c r="T89" s="11"/>
    </row>
    <row r="90" spans="1:20" ht="33.75" thickBot="1">
      <c r="A90" s="12"/>
      <c r="B90" s="23"/>
      <c r="C90" s="24"/>
      <c r="D90" s="24"/>
      <c r="E90" s="24"/>
      <c r="F90" s="13"/>
      <c r="H90" s="12"/>
      <c r="I90" s="23"/>
      <c r="J90" s="24"/>
      <c r="K90" s="24"/>
      <c r="L90" s="24"/>
      <c r="M90" s="13"/>
      <c r="O90" s="12"/>
      <c r="P90" s="23"/>
      <c r="Q90" s="24"/>
      <c r="R90" s="24"/>
      <c r="S90" s="24"/>
      <c r="T90" s="13"/>
    </row>
    <row r="91" spans="1:20" ht="15.75" thickBot="1"/>
    <row r="92" spans="1:20" ht="35.25">
      <c r="A92" s="6"/>
      <c r="B92" s="17"/>
      <c r="C92" s="7"/>
      <c r="D92" s="21" t="s">
        <v>132</v>
      </c>
      <c r="E92" s="7"/>
      <c r="F92" s="8"/>
      <c r="H92" s="6"/>
      <c r="I92" s="17"/>
      <c r="J92" s="7"/>
      <c r="K92" s="21" t="s">
        <v>132</v>
      </c>
      <c r="L92" s="7"/>
      <c r="M92" s="8"/>
      <c r="O92" s="6"/>
      <c r="P92" s="17"/>
      <c r="Q92" s="7"/>
      <c r="R92" s="21" t="s">
        <v>132</v>
      </c>
      <c r="S92" s="7"/>
      <c r="T92" s="8"/>
    </row>
    <row r="93" spans="1:20" ht="30.75">
      <c r="A93" s="9"/>
      <c r="B93" s="25">
        <v>1</v>
      </c>
      <c r="C93" s="22" t="s">
        <v>236</v>
      </c>
      <c r="D93" s="22" t="s">
        <v>133</v>
      </c>
      <c r="E93" s="25" t="s">
        <v>133</v>
      </c>
      <c r="F93" s="11"/>
      <c r="H93" s="9"/>
      <c r="I93" s="25">
        <v>1</v>
      </c>
      <c r="J93" s="22" t="s">
        <v>217</v>
      </c>
      <c r="K93" s="22" t="s">
        <v>133</v>
      </c>
      <c r="L93" s="25" t="s">
        <v>133</v>
      </c>
      <c r="M93" s="11"/>
      <c r="O93" s="9"/>
      <c r="P93" s="25">
        <v>1</v>
      </c>
      <c r="Q93" s="22" t="s">
        <v>197</v>
      </c>
      <c r="R93" s="22" t="s">
        <v>96</v>
      </c>
      <c r="S93" s="25" t="s">
        <v>224</v>
      </c>
      <c r="T93" s="11"/>
    </row>
    <row r="94" spans="1:20" ht="30.75">
      <c r="A94" s="9"/>
      <c r="B94" s="25">
        <v>2</v>
      </c>
      <c r="C94" s="22" t="s">
        <v>139</v>
      </c>
      <c r="D94" s="22" t="s">
        <v>133</v>
      </c>
      <c r="E94" s="25" t="s">
        <v>133</v>
      </c>
      <c r="F94" s="11"/>
      <c r="H94" s="9"/>
      <c r="I94" s="25">
        <v>2</v>
      </c>
      <c r="J94" s="22" t="s">
        <v>189</v>
      </c>
      <c r="K94" s="22" t="s">
        <v>133</v>
      </c>
      <c r="L94" s="25" t="s">
        <v>133</v>
      </c>
      <c r="M94" s="11"/>
      <c r="O94" s="9"/>
      <c r="P94" s="25">
        <v>2</v>
      </c>
      <c r="Q94" s="22" t="s">
        <v>162</v>
      </c>
      <c r="R94" s="22" t="s">
        <v>133</v>
      </c>
      <c r="S94" s="25" t="s">
        <v>133</v>
      </c>
      <c r="T94" s="11"/>
    </row>
    <row r="95" spans="1:20" ht="30.75">
      <c r="A95" s="9"/>
      <c r="B95" s="25">
        <v>3</v>
      </c>
      <c r="C95" s="22" t="s">
        <v>136</v>
      </c>
      <c r="D95" s="22" t="s">
        <v>137</v>
      </c>
      <c r="E95" s="25" t="s">
        <v>224</v>
      </c>
      <c r="F95" s="11"/>
      <c r="H95" s="9"/>
      <c r="I95" s="25">
        <v>3</v>
      </c>
      <c r="J95" s="22" t="s">
        <v>151</v>
      </c>
      <c r="K95" s="22" t="s">
        <v>133</v>
      </c>
      <c r="L95" s="25" t="s">
        <v>133</v>
      </c>
      <c r="M95" s="11"/>
      <c r="O95" s="9"/>
      <c r="P95" s="25">
        <v>3</v>
      </c>
      <c r="Q95" s="22" t="s">
        <v>168</v>
      </c>
      <c r="R95" s="22" t="s">
        <v>133</v>
      </c>
      <c r="S95" s="25" t="s">
        <v>133</v>
      </c>
      <c r="T95" s="11"/>
    </row>
    <row r="96" spans="1:20" ht="30.75">
      <c r="A96" s="9"/>
      <c r="B96" s="25">
        <v>4</v>
      </c>
      <c r="C96" s="22" t="s">
        <v>188</v>
      </c>
      <c r="D96" s="22" t="s">
        <v>133</v>
      </c>
      <c r="E96" s="25" t="s">
        <v>133</v>
      </c>
      <c r="F96" s="11"/>
      <c r="H96" s="9"/>
      <c r="I96" s="25">
        <v>4</v>
      </c>
      <c r="J96" s="22" t="s">
        <v>156</v>
      </c>
      <c r="K96" s="22" t="s">
        <v>133</v>
      </c>
      <c r="L96" s="25" t="s">
        <v>133</v>
      </c>
      <c r="M96" s="11"/>
      <c r="O96" s="9"/>
      <c r="P96" s="25">
        <v>4</v>
      </c>
      <c r="Q96" s="22" t="s">
        <v>175</v>
      </c>
      <c r="R96" s="22" t="s">
        <v>133</v>
      </c>
      <c r="S96" s="25" t="s">
        <v>133</v>
      </c>
      <c r="T96" s="11"/>
    </row>
    <row r="97" spans="1:20" ht="33.75" thickBot="1">
      <c r="A97" s="12"/>
      <c r="B97" s="23"/>
      <c r="C97" s="24"/>
      <c r="D97" s="24"/>
      <c r="E97" s="24"/>
      <c r="F97" s="13"/>
      <c r="H97" s="12"/>
      <c r="I97" s="23"/>
      <c r="J97" s="24"/>
      <c r="K97" s="24"/>
      <c r="L97" s="24"/>
      <c r="M97" s="13"/>
      <c r="O97" s="12"/>
      <c r="P97" s="23"/>
      <c r="Q97" s="24"/>
      <c r="R97" s="24"/>
      <c r="S97" s="24"/>
      <c r="T97" s="13"/>
    </row>
    <row r="98" spans="1:20" ht="15.75" thickBot="1"/>
    <row r="99" spans="1:20" ht="35.25">
      <c r="A99" s="6"/>
      <c r="B99" s="17"/>
      <c r="C99" s="7"/>
      <c r="D99" s="21" t="s">
        <v>132</v>
      </c>
      <c r="E99" s="7"/>
      <c r="F99" s="8"/>
      <c r="H99" s="6"/>
      <c r="I99" s="17"/>
      <c r="J99" s="7"/>
      <c r="K99" s="21" t="s">
        <v>132</v>
      </c>
      <c r="L99" s="7"/>
      <c r="M99" s="8"/>
      <c r="O99" s="6"/>
      <c r="P99" s="17"/>
      <c r="Q99" s="7"/>
      <c r="R99" s="21" t="s">
        <v>132</v>
      </c>
      <c r="S99" s="7"/>
      <c r="T99" s="8"/>
    </row>
    <row r="100" spans="1:20" ht="30.75">
      <c r="A100" s="9"/>
      <c r="B100" s="25">
        <v>1</v>
      </c>
      <c r="C100" s="22" t="s">
        <v>201</v>
      </c>
      <c r="D100" s="22" t="s">
        <v>133</v>
      </c>
      <c r="E100" s="25" t="s">
        <v>133</v>
      </c>
      <c r="F100" s="11"/>
      <c r="H100" s="9"/>
      <c r="I100" s="25">
        <v>1</v>
      </c>
      <c r="J100" s="22" t="s">
        <v>195</v>
      </c>
      <c r="K100" s="22" t="s">
        <v>133</v>
      </c>
      <c r="L100" s="25" t="s">
        <v>133</v>
      </c>
      <c r="M100" s="11"/>
      <c r="O100" s="9"/>
      <c r="P100" s="25">
        <v>1</v>
      </c>
      <c r="Q100" s="22" t="s">
        <v>240</v>
      </c>
      <c r="R100" s="22" t="s">
        <v>227</v>
      </c>
      <c r="S100" s="25" t="s">
        <v>224</v>
      </c>
      <c r="T100" s="11"/>
    </row>
    <row r="101" spans="1:20" ht="30.75">
      <c r="A101" s="9"/>
      <c r="B101" s="25">
        <v>2</v>
      </c>
      <c r="C101" s="22" t="s">
        <v>164</v>
      </c>
      <c r="D101" s="22" t="s">
        <v>133</v>
      </c>
      <c r="E101" s="25" t="s">
        <v>133</v>
      </c>
      <c r="F101" s="11"/>
      <c r="H101" s="9"/>
      <c r="I101" s="25">
        <v>2</v>
      </c>
      <c r="J101" s="22" t="s">
        <v>245</v>
      </c>
      <c r="K101" s="22" t="s">
        <v>246</v>
      </c>
      <c r="L101" s="25" t="s">
        <v>224</v>
      </c>
      <c r="M101" s="11"/>
      <c r="O101" s="9"/>
      <c r="P101" s="25">
        <v>2</v>
      </c>
      <c r="Q101" s="22" t="s">
        <v>154</v>
      </c>
      <c r="R101" s="22" t="s">
        <v>133</v>
      </c>
      <c r="S101" s="25" t="s">
        <v>133</v>
      </c>
      <c r="T101" s="11"/>
    </row>
    <row r="102" spans="1:20" ht="30.75">
      <c r="A102" s="9"/>
      <c r="B102" s="25">
        <v>3</v>
      </c>
      <c r="C102" s="22" t="s">
        <v>171</v>
      </c>
      <c r="D102" s="22" t="s">
        <v>133</v>
      </c>
      <c r="E102" s="25" t="s">
        <v>133</v>
      </c>
      <c r="F102" s="11"/>
      <c r="H102" s="9"/>
      <c r="I102" s="25">
        <v>3</v>
      </c>
      <c r="J102" s="22" t="s">
        <v>168</v>
      </c>
      <c r="K102" s="22" t="s">
        <v>133</v>
      </c>
      <c r="L102" s="25" t="s">
        <v>133</v>
      </c>
      <c r="M102" s="11"/>
      <c r="O102" s="9"/>
      <c r="P102" s="25">
        <v>3</v>
      </c>
      <c r="Q102" s="22" t="s">
        <v>136</v>
      </c>
      <c r="R102" s="22" t="s">
        <v>137</v>
      </c>
      <c r="S102" s="25" t="s">
        <v>224</v>
      </c>
      <c r="T102" s="11"/>
    </row>
    <row r="103" spans="1:20" ht="30.75">
      <c r="A103" s="9"/>
      <c r="B103" s="25">
        <v>4</v>
      </c>
      <c r="C103" s="22" t="s">
        <v>156</v>
      </c>
      <c r="D103" s="22" t="s">
        <v>133</v>
      </c>
      <c r="E103" s="25" t="s">
        <v>133</v>
      </c>
      <c r="F103" s="11"/>
      <c r="H103" s="9"/>
      <c r="I103" s="25">
        <v>4</v>
      </c>
      <c r="J103" s="22" t="s">
        <v>188</v>
      </c>
      <c r="K103" s="22" t="s">
        <v>133</v>
      </c>
      <c r="L103" s="25" t="s">
        <v>133</v>
      </c>
      <c r="M103" s="11"/>
      <c r="O103" s="9"/>
      <c r="P103" s="25">
        <v>4</v>
      </c>
      <c r="Q103" s="22" t="s">
        <v>156</v>
      </c>
      <c r="R103" s="22" t="s">
        <v>133</v>
      </c>
      <c r="S103" s="25" t="s">
        <v>133</v>
      </c>
      <c r="T103" s="11"/>
    </row>
    <row r="104" spans="1:20" ht="123" customHeight="1" thickBot="1">
      <c r="A104" s="12"/>
      <c r="B104" s="23"/>
      <c r="C104" s="24"/>
      <c r="D104" s="24"/>
      <c r="E104" s="24"/>
      <c r="F104" s="13"/>
      <c r="H104" s="12"/>
      <c r="I104" s="23"/>
      <c r="J104" s="24"/>
      <c r="K104" s="24"/>
      <c r="L104" s="24"/>
      <c r="M104" s="13"/>
      <c r="O104" s="12"/>
      <c r="P104" s="23"/>
      <c r="Q104" s="24"/>
      <c r="R104" s="24"/>
      <c r="S104" s="24"/>
      <c r="T104" s="13"/>
    </row>
    <row r="105" spans="1:20" ht="15.75" thickBot="1"/>
    <row r="106" spans="1:20" ht="35.25">
      <c r="A106" s="6"/>
      <c r="B106" s="17"/>
      <c r="C106" s="7"/>
      <c r="D106" s="21" t="s">
        <v>132</v>
      </c>
      <c r="E106" s="7"/>
      <c r="F106" s="8"/>
      <c r="H106" s="6"/>
      <c r="I106" s="17"/>
      <c r="J106" s="7"/>
      <c r="K106" s="21" t="s">
        <v>132</v>
      </c>
      <c r="L106" s="7"/>
      <c r="M106" s="8"/>
      <c r="O106" s="6"/>
      <c r="P106" s="17"/>
      <c r="Q106" s="7"/>
      <c r="R106" s="21" t="s">
        <v>132</v>
      </c>
      <c r="S106" s="7"/>
      <c r="T106" s="8"/>
    </row>
    <row r="107" spans="1:20" ht="30.75">
      <c r="A107" s="9"/>
      <c r="B107" s="25">
        <v>1</v>
      </c>
      <c r="C107" s="22" t="s">
        <v>237</v>
      </c>
      <c r="D107" s="22" t="s">
        <v>133</v>
      </c>
      <c r="E107" s="25" t="s">
        <v>133</v>
      </c>
      <c r="F107" s="11"/>
      <c r="H107" s="9"/>
      <c r="I107" s="25">
        <v>1</v>
      </c>
      <c r="J107" s="22" t="s">
        <v>241</v>
      </c>
      <c r="K107" s="22" t="s">
        <v>242</v>
      </c>
      <c r="L107" s="25" t="s">
        <v>224</v>
      </c>
      <c r="M107" s="11"/>
      <c r="O107" s="9"/>
      <c r="P107" s="25">
        <v>1</v>
      </c>
      <c r="Q107" s="22" t="s">
        <v>172</v>
      </c>
      <c r="R107" s="22" t="s">
        <v>173</v>
      </c>
      <c r="S107" s="25" t="s">
        <v>224</v>
      </c>
      <c r="T107" s="11"/>
    </row>
    <row r="108" spans="1:20" ht="30.75">
      <c r="A108" s="9"/>
      <c r="B108" s="25">
        <v>2</v>
      </c>
      <c r="C108" s="22" t="s">
        <v>179</v>
      </c>
      <c r="D108" s="22" t="s">
        <v>133</v>
      </c>
      <c r="E108" s="25" t="s">
        <v>133</v>
      </c>
      <c r="F108" s="11"/>
      <c r="H108" s="9"/>
      <c r="I108" s="25">
        <v>2</v>
      </c>
      <c r="J108" s="22" t="s">
        <v>196</v>
      </c>
      <c r="K108" s="22" t="s">
        <v>133</v>
      </c>
      <c r="L108" s="25" t="s">
        <v>133</v>
      </c>
      <c r="M108" s="11"/>
      <c r="O108" s="9"/>
      <c r="P108" s="25">
        <v>2</v>
      </c>
      <c r="Q108" s="22" t="s">
        <v>154</v>
      </c>
      <c r="R108" s="22" t="s">
        <v>133</v>
      </c>
      <c r="S108" s="25" t="s">
        <v>133</v>
      </c>
      <c r="T108" s="11"/>
    </row>
    <row r="109" spans="1:20" ht="30.75">
      <c r="A109" s="9"/>
      <c r="B109" s="25">
        <v>3</v>
      </c>
      <c r="C109" s="22" t="s">
        <v>146</v>
      </c>
      <c r="D109" s="22" t="s">
        <v>147</v>
      </c>
      <c r="E109" s="25" t="s">
        <v>224</v>
      </c>
      <c r="F109" s="11"/>
      <c r="H109" s="9"/>
      <c r="I109" s="25">
        <v>3</v>
      </c>
      <c r="J109" s="22" t="s">
        <v>146</v>
      </c>
      <c r="K109" s="22" t="s">
        <v>147</v>
      </c>
      <c r="L109" s="25" t="s">
        <v>224</v>
      </c>
      <c r="M109" s="11"/>
      <c r="O109" s="9"/>
      <c r="P109" s="25">
        <v>3</v>
      </c>
      <c r="Q109" s="22" t="s">
        <v>177</v>
      </c>
      <c r="R109" s="22" t="s">
        <v>133</v>
      </c>
      <c r="S109" s="25" t="s">
        <v>133</v>
      </c>
      <c r="T109" s="11"/>
    </row>
    <row r="110" spans="1:20" ht="30.75">
      <c r="A110" s="9"/>
      <c r="B110" s="25">
        <v>4</v>
      </c>
      <c r="C110" s="22" t="s">
        <v>161</v>
      </c>
      <c r="D110" s="22" t="s">
        <v>133</v>
      </c>
      <c r="E110" s="25" t="s">
        <v>133</v>
      </c>
      <c r="F110" s="11"/>
      <c r="H110" s="9"/>
      <c r="I110" s="25">
        <v>4</v>
      </c>
      <c r="J110" s="22" t="s">
        <v>156</v>
      </c>
      <c r="K110" s="22" t="s">
        <v>133</v>
      </c>
      <c r="L110" s="25" t="s">
        <v>133</v>
      </c>
      <c r="M110" s="11"/>
      <c r="O110" s="9"/>
      <c r="P110" s="25">
        <v>4</v>
      </c>
      <c r="Q110" s="22" t="s">
        <v>200</v>
      </c>
      <c r="R110" s="22" t="s">
        <v>133</v>
      </c>
      <c r="S110" s="25" t="s">
        <v>133</v>
      </c>
      <c r="T110" s="11"/>
    </row>
    <row r="111" spans="1:20" ht="33.75" thickBot="1">
      <c r="A111" s="12"/>
      <c r="B111" s="23"/>
      <c r="C111" s="24"/>
      <c r="D111" s="24"/>
      <c r="E111" s="24"/>
      <c r="F111" s="13"/>
      <c r="H111" s="12"/>
      <c r="I111" s="23"/>
      <c r="J111" s="24"/>
      <c r="K111" s="24"/>
      <c r="L111" s="24"/>
      <c r="M111" s="13"/>
      <c r="O111" s="12"/>
      <c r="P111" s="23"/>
      <c r="Q111" s="24"/>
      <c r="R111" s="24"/>
      <c r="S111" s="24"/>
      <c r="T111" s="13"/>
    </row>
    <row r="112" spans="1:20" ht="15.75" thickBot="1"/>
    <row r="113" spans="1:20" ht="35.25">
      <c r="A113" s="6"/>
      <c r="B113" s="17"/>
      <c r="C113" s="7"/>
      <c r="D113" s="21" t="s">
        <v>132</v>
      </c>
      <c r="E113" s="7"/>
      <c r="F113" s="8"/>
      <c r="H113" s="6"/>
      <c r="I113" s="17"/>
      <c r="J113" s="7"/>
      <c r="K113" s="21" t="s">
        <v>132</v>
      </c>
      <c r="L113" s="7"/>
      <c r="M113" s="8"/>
      <c r="O113" s="6"/>
      <c r="P113" s="17"/>
      <c r="Q113" s="7"/>
      <c r="R113" s="21" t="s">
        <v>132</v>
      </c>
      <c r="S113" s="7"/>
      <c r="T113" s="8"/>
    </row>
    <row r="114" spans="1:20" ht="30.75">
      <c r="A114" s="9"/>
      <c r="B114" s="25">
        <v>1</v>
      </c>
      <c r="C114" s="22" t="s">
        <v>184</v>
      </c>
      <c r="D114" s="22" t="s">
        <v>238</v>
      </c>
      <c r="E114" s="25" t="s">
        <v>224</v>
      </c>
      <c r="F114" s="11"/>
      <c r="H114" s="9"/>
      <c r="I114" s="25">
        <v>1</v>
      </c>
      <c r="J114" s="22" t="s">
        <v>211</v>
      </c>
      <c r="K114" s="22" t="s">
        <v>133</v>
      </c>
      <c r="L114" s="25" t="s">
        <v>133</v>
      </c>
      <c r="M114" s="11"/>
      <c r="O114" s="9"/>
      <c r="P114" s="25">
        <v>1</v>
      </c>
      <c r="Q114" s="22" t="s">
        <v>167</v>
      </c>
      <c r="R114" s="22" t="s">
        <v>133</v>
      </c>
      <c r="S114" s="25" t="s">
        <v>133</v>
      </c>
      <c r="T114" s="11"/>
    </row>
    <row r="115" spans="1:20" ht="30.75">
      <c r="A115" s="9"/>
      <c r="B115" s="25">
        <v>2</v>
      </c>
      <c r="C115" s="22" t="s">
        <v>213</v>
      </c>
      <c r="D115" s="22" t="s">
        <v>214</v>
      </c>
      <c r="E115" s="25" t="s">
        <v>224</v>
      </c>
      <c r="F115" s="11"/>
      <c r="H115" s="9"/>
      <c r="I115" s="25">
        <v>2</v>
      </c>
      <c r="J115" s="22" t="s">
        <v>164</v>
      </c>
      <c r="K115" s="22" t="s">
        <v>133</v>
      </c>
      <c r="L115" s="25" t="s">
        <v>133</v>
      </c>
      <c r="M115" s="11"/>
      <c r="O115" s="9"/>
      <c r="P115" s="25">
        <v>2</v>
      </c>
      <c r="Q115" s="22" t="s">
        <v>196</v>
      </c>
      <c r="R115" s="22" t="s">
        <v>133</v>
      </c>
      <c r="S115" s="25" t="s">
        <v>133</v>
      </c>
      <c r="T115" s="11"/>
    </row>
    <row r="116" spans="1:20" ht="30.75">
      <c r="A116" s="9"/>
      <c r="B116" s="25">
        <v>3</v>
      </c>
      <c r="C116" s="22" t="s">
        <v>163</v>
      </c>
      <c r="D116" s="22" t="s">
        <v>133</v>
      </c>
      <c r="E116" s="25" t="s">
        <v>133</v>
      </c>
      <c r="F116" s="11"/>
      <c r="H116" s="9"/>
      <c r="I116" s="25">
        <v>3</v>
      </c>
      <c r="J116" s="22" t="s">
        <v>140</v>
      </c>
      <c r="K116" s="22" t="s">
        <v>141</v>
      </c>
      <c r="L116" s="25" t="s">
        <v>224</v>
      </c>
      <c r="M116" s="11"/>
      <c r="O116" s="9"/>
      <c r="P116" s="25">
        <v>3</v>
      </c>
      <c r="Q116" s="22" t="s">
        <v>146</v>
      </c>
      <c r="R116" s="22" t="s">
        <v>147</v>
      </c>
      <c r="S116" s="25" t="s">
        <v>224</v>
      </c>
      <c r="T116" s="11"/>
    </row>
    <row r="117" spans="1:20" ht="30.75">
      <c r="A117" s="9"/>
      <c r="B117" s="25">
        <v>4</v>
      </c>
      <c r="C117" s="22" t="s">
        <v>161</v>
      </c>
      <c r="D117" s="22" t="s">
        <v>133</v>
      </c>
      <c r="E117" s="25" t="s">
        <v>133</v>
      </c>
      <c r="F117" s="11"/>
      <c r="H117" s="9"/>
      <c r="I117" s="25">
        <v>4</v>
      </c>
      <c r="J117" s="22" t="s">
        <v>180</v>
      </c>
      <c r="K117" s="22" t="s">
        <v>133</v>
      </c>
      <c r="L117" s="25" t="s">
        <v>133</v>
      </c>
      <c r="M117" s="11"/>
      <c r="O117" s="9"/>
      <c r="P117" s="25">
        <v>4</v>
      </c>
      <c r="Q117" s="22" t="s">
        <v>138</v>
      </c>
      <c r="R117" s="22" t="s">
        <v>133</v>
      </c>
      <c r="S117" s="25" t="s">
        <v>133</v>
      </c>
      <c r="T117" s="11"/>
    </row>
    <row r="118" spans="1:20" ht="33.75" thickBot="1">
      <c r="A118" s="12"/>
      <c r="B118" s="23"/>
      <c r="C118" s="24"/>
      <c r="D118" s="24"/>
      <c r="E118" s="24"/>
      <c r="F118" s="13"/>
      <c r="H118" s="12"/>
      <c r="I118" s="23"/>
      <c r="J118" s="24"/>
      <c r="K118" s="24"/>
      <c r="L118" s="24"/>
      <c r="M118" s="13"/>
      <c r="O118" s="12"/>
      <c r="P118" s="23"/>
      <c r="Q118" s="24"/>
      <c r="R118" s="24"/>
      <c r="S118" s="24"/>
      <c r="T118" s="13"/>
    </row>
    <row r="119" spans="1:20" ht="15.75" thickBot="1"/>
    <row r="120" spans="1:20" ht="35.25">
      <c r="A120" s="6"/>
      <c r="B120" s="17"/>
      <c r="C120" s="7"/>
      <c r="D120" s="21" t="s">
        <v>132</v>
      </c>
      <c r="E120" s="7"/>
      <c r="F120" s="8"/>
      <c r="H120" s="6"/>
      <c r="I120" s="17"/>
      <c r="J120" s="7"/>
      <c r="K120" s="21" t="s">
        <v>132</v>
      </c>
      <c r="L120" s="7"/>
      <c r="M120" s="8"/>
      <c r="O120" s="6"/>
      <c r="P120" s="17"/>
      <c r="Q120" s="7"/>
      <c r="R120" s="21" t="s">
        <v>132</v>
      </c>
      <c r="S120" s="7"/>
      <c r="T120" s="8"/>
    </row>
    <row r="121" spans="1:20" ht="30.75">
      <c r="A121" s="9"/>
      <c r="B121" s="25">
        <v>1</v>
      </c>
      <c r="C121" s="22" t="s">
        <v>236</v>
      </c>
      <c r="D121" s="22" t="s">
        <v>133</v>
      </c>
      <c r="E121" s="25" t="s">
        <v>133</v>
      </c>
      <c r="F121" s="11"/>
      <c r="H121" s="9"/>
      <c r="I121" s="25">
        <v>1</v>
      </c>
      <c r="J121" s="22" t="s">
        <v>247</v>
      </c>
      <c r="K121" s="22" t="s">
        <v>126</v>
      </c>
      <c r="L121" s="25" t="s">
        <v>224</v>
      </c>
      <c r="M121" s="11"/>
      <c r="O121" s="9"/>
      <c r="P121" s="25">
        <v>1</v>
      </c>
      <c r="Q121" s="22" t="s">
        <v>197</v>
      </c>
      <c r="R121" s="22" t="s">
        <v>96</v>
      </c>
      <c r="S121" s="25" t="s">
        <v>224</v>
      </c>
      <c r="T121" s="11"/>
    </row>
    <row r="122" spans="1:20" ht="30.75">
      <c r="A122" s="9"/>
      <c r="B122" s="25">
        <v>2</v>
      </c>
      <c r="C122" s="22" t="s">
        <v>134</v>
      </c>
      <c r="D122" s="22" t="s">
        <v>135</v>
      </c>
      <c r="E122" s="25" t="s">
        <v>224</v>
      </c>
      <c r="F122" s="11"/>
      <c r="H122" s="9"/>
      <c r="I122" s="25">
        <v>2</v>
      </c>
      <c r="J122" s="22" t="s">
        <v>174</v>
      </c>
      <c r="K122" s="22" t="s">
        <v>133</v>
      </c>
      <c r="L122" s="25" t="s">
        <v>133</v>
      </c>
      <c r="M122" s="11"/>
      <c r="O122" s="9"/>
      <c r="P122" s="25">
        <v>2</v>
      </c>
      <c r="Q122" s="22" t="s">
        <v>144</v>
      </c>
      <c r="R122" s="22" t="s">
        <v>145</v>
      </c>
      <c r="S122" s="25" t="s">
        <v>224</v>
      </c>
      <c r="T122" s="11"/>
    </row>
    <row r="123" spans="1:20" ht="30.75">
      <c r="A123" s="9"/>
      <c r="B123" s="25">
        <v>3</v>
      </c>
      <c r="C123" s="22" t="s">
        <v>140</v>
      </c>
      <c r="D123" s="22" t="s">
        <v>141</v>
      </c>
      <c r="E123" s="25" t="s">
        <v>224</v>
      </c>
      <c r="F123" s="11"/>
      <c r="H123" s="9"/>
      <c r="I123" s="25">
        <v>3</v>
      </c>
      <c r="J123" s="22" t="s">
        <v>140</v>
      </c>
      <c r="K123" s="22" t="s">
        <v>141</v>
      </c>
      <c r="L123" s="25" t="s">
        <v>224</v>
      </c>
      <c r="M123" s="11"/>
      <c r="O123" s="9"/>
      <c r="P123" s="25">
        <v>3</v>
      </c>
      <c r="Q123" s="22" t="s">
        <v>186</v>
      </c>
      <c r="R123" s="22" t="s">
        <v>187</v>
      </c>
      <c r="S123" s="25" t="s">
        <v>224</v>
      </c>
      <c r="T123" s="11"/>
    </row>
    <row r="124" spans="1:20" ht="30.75">
      <c r="A124" s="9"/>
      <c r="B124" s="25">
        <v>4</v>
      </c>
      <c r="C124" s="22" t="s">
        <v>165</v>
      </c>
      <c r="D124" s="22" t="s">
        <v>166</v>
      </c>
      <c r="E124" s="25" t="s">
        <v>224</v>
      </c>
      <c r="F124" s="11"/>
      <c r="H124" s="9"/>
      <c r="I124" s="25">
        <v>4</v>
      </c>
      <c r="J124" s="22" t="s">
        <v>204</v>
      </c>
      <c r="K124" s="22" t="s">
        <v>133</v>
      </c>
      <c r="L124" s="25" t="s">
        <v>133</v>
      </c>
      <c r="M124" s="11"/>
      <c r="O124" s="9"/>
      <c r="P124" s="25">
        <v>4</v>
      </c>
      <c r="Q124" s="22" t="s">
        <v>175</v>
      </c>
      <c r="R124" s="22" t="s">
        <v>133</v>
      </c>
      <c r="S124" s="25" t="s">
        <v>133</v>
      </c>
      <c r="T124" s="11"/>
    </row>
    <row r="125" spans="1:20" ht="33.75" thickBot="1">
      <c r="A125" s="12"/>
      <c r="B125" s="23"/>
      <c r="C125" s="24"/>
      <c r="D125" s="24"/>
      <c r="E125" s="24"/>
      <c r="F125" s="13"/>
      <c r="H125" s="12"/>
      <c r="I125" s="23"/>
      <c r="J125" s="24"/>
      <c r="K125" s="24"/>
      <c r="L125" s="24"/>
      <c r="M125" s="13"/>
      <c r="O125" s="12"/>
      <c r="P125" s="23"/>
      <c r="Q125" s="24"/>
      <c r="R125" s="24"/>
      <c r="S125" s="24"/>
      <c r="T125" s="13"/>
    </row>
    <row r="126" spans="1:20" ht="15.75" thickBot="1"/>
    <row r="127" spans="1:20" ht="35.25">
      <c r="A127" s="6"/>
      <c r="B127" s="17"/>
      <c r="C127" s="7"/>
      <c r="D127" s="21" t="s">
        <v>132</v>
      </c>
      <c r="E127" s="7"/>
      <c r="F127" s="8"/>
      <c r="H127" s="6"/>
      <c r="I127" s="17"/>
      <c r="J127" s="7"/>
      <c r="K127" s="21" t="s">
        <v>132</v>
      </c>
      <c r="L127" s="7"/>
      <c r="M127" s="8"/>
      <c r="O127" s="6"/>
      <c r="P127" s="17"/>
      <c r="Q127" s="7"/>
      <c r="R127" s="21" t="s">
        <v>132</v>
      </c>
      <c r="S127" s="7"/>
      <c r="T127" s="8"/>
    </row>
    <row r="128" spans="1:20" ht="30.75">
      <c r="A128" s="9"/>
      <c r="B128" s="25">
        <v>1</v>
      </c>
      <c r="C128" s="22" t="s">
        <v>220</v>
      </c>
      <c r="D128" s="22" t="s">
        <v>133</v>
      </c>
      <c r="E128" s="25" t="s">
        <v>133</v>
      </c>
      <c r="F128" s="11"/>
      <c r="H128" s="9"/>
      <c r="I128" s="25">
        <v>1</v>
      </c>
      <c r="J128" s="22" t="s">
        <v>237</v>
      </c>
      <c r="K128" s="22" t="s">
        <v>133</v>
      </c>
      <c r="L128" s="25" t="s">
        <v>133</v>
      </c>
      <c r="M128" s="11"/>
      <c r="O128" s="9"/>
      <c r="P128" s="25">
        <v>1</v>
      </c>
      <c r="Q128" s="22" t="s">
        <v>212</v>
      </c>
      <c r="R128" s="22" t="s">
        <v>133</v>
      </c>
      <c r="S128" s="25" t="s">
        <v>133</v>
      </c>
      <c r="T128" s="11"/>
    </row>
    <row r="129" spans="1:20" ht="30.75">
      <c r="A129" s="9"/>
      <c r="B129" s="25">
        <v>2</v>
      </c>
      <c r="C129" s="22" t="s">
        <v>162</v>
      </c>
      <c r="D129" s="22" t="s">
        <v>133</v>
      </c>
      <c r="E129" s="25" t="s">
        <v>133</v>
      </c>
      <c r="F129" s="11"/>
      <c r="H129" s="9"/>
      <c r="I129" s="25">
        <v>2</v>
      </c>
      <c r="J129" s="22" t="s">
        <v>159</v>
      </c>
      <c r="K129" s="22" t="s">
        <v>160</v>
      </c>
      <c r="L129" s="25" t="s">
        <v>224</v>
      </c>
      <c r="M129" s="11"/>
      <c r="O129" s="9"/>
      <c r="P129" s="25">
        <v>2</v>
      </c>
      <c r="Q129" s="22" t="s">
        <v>169</v>
      </c>
      <c r="R129" s="22" t="s">
        <v>170</v>
      </c>
      <c r="S129" s="25" t="s">
        <v>224</v>
      </c>
      <c r="T129" s="11"/>
    </row>
    <row r="130" spans="1:20" ht="30.75">
      <c r="A130" s="9"/>
      <c r="B130" s="25">
        <v>3</v>
      </c>
      <c r="C130" s="22" t="s">
        <v>186</v>
      </c>
      <c r="D130" s="22" t="s">
        <v>187</v>
      </c>
      <c r="E130" s="25" t="s">
        <v>224</v>
      </c>
      <c r="F130" s="11"/>
      <c r="H130" s="9"/>
      <c r="I130" s="25">
        <v>3</v>
      </c>
      <c r="J130" s="22" t="s">
        <v>151</v>
      </c>
      <c r="K130" s="22" t="s">
        <v>133</v>
      </c>
      <c r="L130" s="25" t="s">
        <v>133</v>
      </c>
      <c r="M130" s="11"/>
      <c r="O130" s="9"/>
      <c r="P130" s="25">
        <v>3</v>
      </c>
      <c r="Q130" s="22" t="s">
        <v>171</v>
      </c>
      <c r="R130" s="22" t="s">
        <v>133</v>
      </c>
      <c r="S130" s="25" t="s">
        <v>133</v>
      </c>
      <c r="T130" s="11"/>
    </row>
    <row r="131" spans="1:20" ht="30.75">
      <c r="A131" s="9"/>
      <c r="B131" s="25">
        <v>4</v>
      </c>
      <c r="C131" s="22" t="s">
        <v>165</v>
      </c>
      <c r="D131" s="22" t="s">
        <v>166</v>
      </c>
      <c r="E131" s="25" t="s">
        <v>224</v>
      </c>
      <c r="F131" s="11"/>
      <c r="H131" s="9"/>
      <c r="I131" s="25">
        <v>4</v>
      </c>
      <c r="J131" s="22" t="s">
        <v>204</v>
      </c>
      <c r="K131" s="22" t="s">
        <v>133</v>
      </c>
      <c r="L131" s="25" t="s">
        <v>133</v>
      </c>
      <c r="M131" s="11"/>
      <c r="O131" s="9"/>
      <c r="P131" s="25">
        <v>4</v>
      </c>
      <c r="Q131" s="22" t="s">
        <v>138</v>
      </c>
      <c r="R131" s="22" t="s">
        <v>133</v>
      </c>
      <c r="S131" s="25" t="s">
        <v>133</v>
      </c>
      <c r="T131" s="11"/>
    </row>
    <row r="132" spans="1:20" ht="33.75" thickBot="1">
      <c r="A132" s="12"/>
      <c r="B132" s="23"/>
      <c r="C132" s="24"/>
      <c r="D132" s="24"/>
      <c r="E132" s="24"/>
      <c r="F132" s="13"/>
      <c r="H132" s="12"/>
      <c r="I132" s="23"/>
      <c r="J132" s="24"/>
      <c r="K132" s="24"/>
      <c r="L132" s="24"/>
      <c r="M132" s="13"/>
      <c r="O132" s="12"/>
      <c r="P132" s="23"/>
      <c r="Q132" s="24"/>
      <c r="R132" s="24"/>
      <c r="S132" s="24"/>
      <c r="T132" s="13"/>
    </row>
    <row r="133" spans="1:20" ht="15.75" thickBot="1"/>
    <row r="134" spans="1:20" ht="35.25">
      <c r="A134" s="6"/>
      <c r="B134" s="17"/>
      <c r="C134" s="7"/>
      <c r="D134" s="21" t="s">
        <v>132</v>
      </c>
      <c r="E134" s="7"/>
      <c r="F134" s="8"/>
      <c r="H134" s="6"/>
      <c r="I134" s="17"/>
      <c r="J134" s="7"/>
      <c r="K134" s="21" t="s">
        <v>132</v>
      </c>
      <c r="L134" s="7"/>
      <c r="M134" s="8"/>
      <c r="O134" s="6"/>
      <c r="P134" s="17"/>
      <c r="Q134" s="7"/>
      <c r="R134" s="21" t="s">
        <v>132</v>
      </c>
      <c r="S134" s="7"/>
      <c r="T134" s="8"/>
    </row>
    <row r="135" spans="1:20" ht="30.75">
      <c r="A135" s="9"/>
      <c r="B135" s="25">
        <v>1</v>
      </c>
      <c r="C135" s="22" t="s">
        <v>221</v>
      </c>
      <c r="D135" s="22" t="s">
        <v>222</v>
      </c>
      <c r="E135" s="25" t="s">
        <v>224</v>
      </c>
      <c r="F135" s="11"/>
      <c r="H135" s="9"/>
      <c r="I135" s="25">
        <v>1</v>
      </c>
      <c r="J135" s="22" t="s">
        <v>192</v>
      </c>
      <c r="K135" s="22" t="s">
        <v>133</v>
      </c>
      <c r="L135" s="25" t="s">
        <v>133</v>
      </c>
      <c r="M135" s="11"/>
      <c r="O135" s="9"/>
      <c r="P135" s="25">
        <v>1</v>
      </c>
      <c r="Q135" s="22" t="s">
        <v>205</v>
      </c>
      <c r="R135" s="22" t="s">
        <v>133</v>
      </c>
      <c r="S135" s="25" t="s">
        <v>133</v>
      </c>
      <c r="T135" s="11"/>
    </row>
    <row r="136" spans="1:20" ht="30.75">
      <c r="A136" s="9"/>
      <c r="B136" s="25">
        <v>2</v>
      </c>
      <c r="C136" s="22" t="s">
        <v>162</v>
      </c>
      <c r="D136" s="22" t="s">
        <v>133</v>
      </c>
      <c r="E136" s="25" t="s">
        <v>133</v>
      </c>
      <c r="F136" s="11"/>
      <c r="H136" s="9"/>
      <c r="I136" s="25">
        <v>2</v>
      </c>
      <c r="J136" s="22" t="s">
        <v>155</v>
      </c>
      <c r="K136" s="22" t="s">
        <v>133</v>
      </c>
      <c r="L136" s="25" t="s">
        <v>133</v>
      </c>
      <c r="M136" s="11"/>
      <c r="O136" s="9"/>
      <c r="P136" s="25">
        <v>2</v>
      </c>
      <c r="Q136" s="22" t="s">
        <v>144</v>
      </c>
      <c r="R136" s="22" t="s">
        <v>145</v>
      </c>
      <c r="S136" s="25" t="s">
        <v>224</v>
      </c>
      <c r="T136" s="11"/>
    </row>
    <row r="137" spans="1:20" ht="30.75">
      <c r="A137" s="9"/>
      <c r="B137" s="25">
        <v>3</v>
      </c>
      <c r="C137" s="22" t="s">
        <v>168</v>
      </c>
      <c r="D137" s="22" t="s">
        <v>133</v>
      </c>
      <c r="E137" s="25" t="s">
        <v>133</v>
      </c>
      <c r="F137" s="11"/>
      <c r="H137" s="9"/>
      <c r="I137" s="25">
        <v>3</v>
      </c>
      <c r="J137" s="22" t="s">
        <v>140</v>
      </c>
      <c r="K137" s="22" t="s">
        <v>141</v>
      </c>
      <c r="L137" s="25" t="s">
        <v>224</v>
      </c>
      <c r="M137" s="11"/>
      <c r="O137" s="9"/>
      <c r="P137" s="25">
        <v>3</v>
      </c>
      <c r="Q137" s="22" t="s">
        <v>177</v>
      </c>
      <c r="R137" s="22" t="s">
        <v>133</v>
      </c>
      <c r="S137" s="25" t="s">
        <v>133</v>
      </c>
      <c r="T137" s="11"/>
    </row>
    <row r="138" spans="1:20" ht="30.75">
      <c r="A138" s="9"/>
      <c r="B138" s="25">
        <v>4</v>
      </c>
      <c r="C138" s="22" t="s">
        <v>152</v>
      </c>
      <c r="D138" s="22" t="s">
        <v>133</v>
      </c>
      <c r="E138" s="25" t="s">
        <v>133</v>
      </c>
      <c r="F138" s="11"/>
      <c r="H138" s="9"/>
      <c r="I138" s="25">
        <v>4</v>
      </c>
      <c r="J138" s="22" t="s">
        <v>152</v>
      </c>
      <c r="K138" s="22" t="s">
        <v>133</v>
      </c>
      <c r="L138" s="25" t="s">
        <v>133</v>
      </c>
      <c r="M138" s="11"/>
      <c r="O138" s="9"/>
      <c r="P138" s="25">
        <v>4</v>
      </c>
      <c r="Q138" s="22" t="s">
        <v>165</v>
      </c>
      <c r="R138" s="22" t="s">
        <v>166</v>
      </c>
      <c r="S138" s="25" t="s">
        <v>224</v>
      </c>
      <c r="T138" s="11"/>
    </row>
    <row r="139" spans="1:20" ht="33.75" thickBot="1">
      <c r="A139" s="12"/>
      <c r="B139" s="23"/>
      <c r="C139" s="24"/>
      <c r="D139" s="24"/>
      <c r="E139" s="24"/>
      <c r="F139" s="13"/>
      <c r="H139" s="12"/>
      <c r="I139" s="23"/>
      <c r="J139" s="24"/>
      <c r="K139" s="24"/>
      <c r="L139" s="24"/>
      <c r="M139" s="13"/>
      <c r="O139" s="12"/>
      <c r="P139" s="23"/>
      <c r="Q139" s="24"/>
      <c r="R139" s="24"/>
      <c r="S139" s="24"/>
      <c r="T139" s="13"/>
    </row>
    <row r="140" spans="1:20" ht="15.75" thickBot="1"/>
    <row r="141" spans="1:20" ht="35.25">
      <c r="A141" s="6"/>
      <c r="B141" s="17"/>
      <c r="C141" s="7"/>
      <c r="D141" s="21" t="s">
        <v>132</v>
      </c>
      <c r="E141" s="7"/>
      <c r="F141" s="8"/>
      <c r="H141" s="6"/>
      <c r="I141" s="17"/>
      <c r="J141" s="7"/>
      <c r="K141" s="21" t="s">
        <v>132</v>
      </c>
      <c r="L141" s="7"/>
      <c r="M141" s="8"/>
      <c r="O141" s="6"/>
      <c r="P141" s="17"/>
      <c r="Q141" s="7"/>
      <c r="R141" s="21" t="s">
        <v>132</v>
      </c>
      <c r="S141" s="7"/>
      <c r="T141" s="8"/>
    </row>
    <row r="142" spans="1:20" ht="30.75">
      <c r="A142" s="9"/>
      <c r="B142" s="25">
        <v>1</v>
      </c>
      <c r="C142" s="22" t="s">
        <v>181</v>
      </c>
      <c r="D142" s="22" t="s">
        <v>133</v>
      </c>
      <c r="E142" s="25" t="s">
        <v>133</v>
      </c>
      <c r="F142" s="11"/>
      <c r="H142" s="9"/>
      <c r="I142" s="25">
        <v>1</v>
      </c>
      <c r="J142" s="22" t="s">
        <v>248</v>
      </c>
      <c r="K142" s="22" t="s">
        <v>133</v>
      </c>
      <c r="L142" s="25" t="s">
        <v>133</v>
      </c>
      <c r="M142" s="11"/>
      <c r="O142" s="9"/>
      <c r="P142" s="25">
        <v>1</v>
      </c>
      <c r="Q142" s="22" t="s">
        <v>252</v>
      </c>
      <c r="R142" s="22" t="s">
        <v>133</v>
      </c>
      <c r="S142" s="25" t="s">
        <v>133</v>
      </c>
      <c r="T142" s="11"/>
    </row>
    <row r="143" spans="1:20" ht="30.75">
      <c r="A143" s="9"/>
      <c r="B143" s="25">
        <v>2</v>
      </c>
      <c r="C143" s="22" t="s">
        <v>215</v>
      </c>
      <c r="D143" s="22" t="s">
        <v>216</v>
      </c>
      <c r="E143" s="25" t="s">
        <v>224</v>
      </c>
      <c r="F143" s="11"/>
      <c r="H143" s="9"/>
      <c r="I143" s="25">
        <v>2</v>
      </c>
      <c r="J143" s="22" t="s">
        <v>245</v>
      </c>
      <c r="K143" s="22" t="s">
        <v>246</v>
      </c>
      <c r="L143" s="25" t="s">
        <v>224</v>
      </c>
      <c r="M143" s="11"/>
      <c r="O143" s="9"/>
      <c r="P143" s="25">
        <v>2</v>
      </c>
      <c r="Q143" s="22" t="s">
        <v>169</v>
      </c>
      <c r="R143" s="22" t="s">
        <v>170</v>
      </c>
      <c r="S143" s="25" t="s">
        <v>224</v>
      </c>
      <c r="T143" s="11"/>
    </row>
    <row r="144" spans="1:20" ht="30.75">
      <c r="A144" s="9"/>
      <c r="B144" s="25">
        <v>3</v>
      </c>
      <c r="C144" s="22" t="s">
        <v>151</v>
      </c>
      <c r="D144" s="22" t="s">
        <v>133</v>
      </c>
      <c r="E144" s="25" t="s">
        <v>133</v>
      </c>
      <c r="F144" s="11"/>
      <c r="H144" s="9"/>
      <c r="I144" s="25">
        <v>3</v>
      </c>
      <c r="J144" s="22" t="s">
        <v>168</v>
      </c>
      <c r="K144" s="22" t="s">
        <v>133</v>
      </c>
      <c r="L144" s="25" t="s">
        <v>133</v>
      </c>
      <c r="M144" s="11"/>
      <c r="O144" s="9"/>
      <c r="P144" s="25">
        <v>3</v>
      </c>
      <c r="Q144" s="22" t="s">
        <v>140</v>
      </c>
      <c r="R144" s="22" t="s">
        <v>141</v>
      </c>
      <c r="S144" s="25" t="s">
        <v>224</v>
      </c>
      <c r="T144" s="11"/>
    </row>
    <row r="145" spans="1:20" ht="30.75">
      <c r="A145" s="9"/>
      <c r="B145" s="25">
        <v>4</v>
      </c>
      <c r="C145" s="22" t="s">
        <v>161</v>
      </c>
      <c r="D145" s="22" t="s">
        <v>133</v>
      </c>
      <c r="E145" s="25" t="s">
        <v>133</v>
      </c>
      <c r="F145" s="11"/>
      <c r="H145" s="9"/>
      <c r="I145" s="25">
        <v>4</v>
      </c>
      <c r="J145" s="22" t="s">
        <v>180</v>
      </c>
      <c r="K145" s="22" t="s">
        <v>133</v>
      </c>
      <c r="L145" s="25" t="s">
        <v>133</v>
      </c>
      <c r="M145" s="11"/>
      <c r="O145" s="9"/>
      <c r="P145" s="25">
        <v>4</v>
      </c>
      <c r="Q145" s="22" t="s">
        <v>152</v>
      </c>
      <c r="R145" s="22" t="s">
        <v>133</v>
      </c>
      <c r="S145" s="25" t="s">
        <v>133</v>
      </c>
      <c r="T145" s="11"/>
    </row>
    <row r="146" spans="1:20" ht="33.75" thickBot="1">
      <c r="A146" s="12"/>
      <c r="B146" s="23"/>
      <c r="C146" s="24"/>
      <c r="D146" s="24"/>
      <c r="E146" s="24"/>
      <c r="F146" s="13"/>
      <c r="H146" s="12"/>
      <c r="I146" s="23"/>
      <c r="J146" s="24"/>
      <c r="K146" s="24"/>
      <c r="L146" s="24"/>
      <c r="M146" s="13"/>
      <c r="O146" s="12"/>
      <c r="P146" s="23"/>
      <c r="Q146" s="24"/>
      <c r="R146" s="24"/>
      <c r="S146" s="24"/>
      <c r="T146" s="13"/>
    </row>
    <row r="147" spans="1:20" ht="15.75" thickBot="1"/>
    <row r="148" spans="1:20" ht="35.25">
      <c r="A148" s="6"/>
      <c r="B148" s="17"/>
      <c r="C148" s="7"/>
      <c r="D148" s="21" t="s">
        <v>132</v>
      </c>
      <c r="E148" s="7"/>
      <c r="F148" s="8"/>
      <c r="H148" s="6"/>
      <c r="I148" s="17"/>
      <c r="J148" s="7"/>
      <c r="K148" s="21" t="s">
        <v>132</v>
      </c>
      <c r="L148" s="7"/>
      <c r="M148" s="8"/>
      <c r="O148" s="6"/>
      <c r="P148" s="17"/>
      <c r="Q148" s="7"/>
      <c r="R148" s="21" t="s">
        <v>132</v>
      </c>
      <c r="S148" s="7"/>
      <c r="T148" s="8"/>
    </row>
    <row r="149" spans="1:20" ht="30.75">
      <c r="A149" s="9"/>
      <c r="B149" s="25">
        <v>1</v>
      </c>
      <c r="C149" s="22" t="s">
        <v>194</v>
      </c>
      <c r="D149" s="22" t="s">
        <v>133</v>
      </c>
      <c r="E149" s="25" t="s">
        <v>133</v>
      </c>
      <c r="F149" s="11"/>
      <c r="H149" s="9"/>
      <c r="I149" s="25">
        <v>1</v>
      </c>
      <c r="J149" s="22" t="s">
        <v>249</v>
      </c>
      <c r="K149" s="22" t="s">
        <v>133</v>
      </c>
      <c r="L149" s="25" t="s">
        <v>133</v>
      </c>
      <c r="M149" s="11"/>
      <c r="O149" s="9"/>
      <c r="P149" s="25">
        <v>1</v>
      </c>
      <c r="Q149" s="22" t="s">
        <v>233</v>
      </c>
      <c r="R149" s="22" t="s">
        <v>133</v>
      </c>
      <c r="S149" s="25" t="s">
        <v>133</v>
      </c>
      <c r="T149" s="11"/>
    </row>
    <row r="150" spans="1:20" ht="30.75">
      <c r="A150" s="9"/>
      <c r="B150" s="25">
        <v>2</v>
      </c>
      <c r="C150" s="22" t="s">
        <v>202</v>
      </c>
      <c r="D150" s="22" t="s">
        <v>133</v>
      </c>
      <c r="E150" s="25" t="s">
        <v>133</v>
      </c>
      <c r="F150" s="11"/>
      <c r="H150" s="9"/>
      <c r="I150" s="25">
        <v>2</v>
      </c>
      <c r="J150" s="22" t="s">
        <v>179</v>
      </c>
      <c r="K150" s="22" t="s">
        <v>133</v>
      </c>
      <c r="L150" s="25" t="s">
        <v>133</v>
      </c>
      <c r="M150" s="11"/>
      <c r="O150" s="9"/>
      <c r="P150" s="25">
        <v>2</v>
      </c>
      <c r="Q150" s="22" t="s">
        <v>154</v>
      </c>
      <c r="R150" s="22" t="s">
        <v>133</v>
      </c>
      <c r="S150" s="25" t="s">
        <v>133</v>
      </c>
      <c r="T150" s="11"/>
    </row>
    <row r="151" spans="1:20" ht="30.75">
      <c r="A151" s="9"/>
      <c r="B151" s="25">
        <v>3</v>
      </c>
      <c r="C151" s="22" t="s">
        <v>146</v>
      </c>
      <c r="D151" s="22" t="s">
        <v>147</v>
      </c>
      <c r="E151" s="25" t="s">
        <v>224</v>
      </c>
      <c r="F151" s="11"/>
      <c r="H151" s="9"/>
      <c r="I151" s="25">
        <v>3</v>
      </c>
      <c r="J151" s="22" t="s">
        <v>186</v>
      </c>
      <c r="K151" s="22" t="s">
        <v>187</v>
      </c>
      <c r="L151" s="25" t="s">
        <v>224</v>
      </c>
      <c r="M151" s="11"/>
      <c r="O151" s="9"/>
      <c r="P151" s="25">
        <v>3</v>
      </c>
      <c r="Q151" s="22" t="s">
        <v>177</v>
      </c>
      <c r="R151" s="22" t="s">
        <v>133</v>
      </c>
      <c r="S151" s="25" t="s">
        <v>133</v>
      </c>
      <c r="T151" s="11"/>
    </row>
    <row r="152" spans="1:20" ht="30.75">
      <c r="A152" s="9"/>
      <c r="B152" s="25">
        <v>4</v>
      </c>
      <c r="C152" s="22" t="s">
        <v>152</v>
      </c>
      <c r="D152" s="22" t="s">
        <v>133</v>
      </c>
      <c r="E152" s="25" t="s">
        <v>133</v>
      </c>
      <c r="F152" s="11"/>
      <c r="H152" s="9"/>
      <c r="I152" s="25">
        <v>4</v>
      </c>
      <c r="J152" s="22" t="s">
        <v>175</v>
      </c>
      <c r="K152" s="22" t="s">
        <v>133</v>
      </c>
      <c r="L152" s="25" t="s">
        <v>133</v>
      </c>
      <c r="M152" s="11"/>
      <c r="O152" s="9"/>
      <c r="P152" s="25">
        <v>4</v>
      </c>
      <c r="Q152" s="22" t="s">
        <v>188</v>
      </c>
      <c r="R152" s="22" t="s">
        <v>133</v>
      </c>
      <c r="S152" s="25" t="s">
        <v>133</v>
      </c>
      <c r="T152" s="11"/>
    </row>
    <row r="153" spans="1:20" ht="33.75" thickBot="1">
      <c r="A153" s="12"/>
      <c r="B153" s="23"/>
      <c r="C153" s="24"/>
      <c r="D153" s="24"/>
      <c r="E153" s="24"/>
      <c r="F153" s="13"/>
      <c r="H153" s="12"/>
      <c r="I153" s="23"/>
      <c r="J153" s="24"/>
      <c r="K153" s="24"/>
      <c r="L153" s="24"/>
      <c r="M153" s="13"/>
      <c r="O153" s="12"/>
      <c r="P153" s="23"/>
      <c r="Q153" s="24"/>
      <c r="R153" s="24"/>
      <c r="S153" s="24"/>
      <c r="T153" s="13"/>
    </row>
    <row r="154" spans="1:20" ht="15.75" thickBot="1"/>
    <row r="155" spans="1:20" ht="35.25">
      <c r="A155" s="6"/>
      <c r="B155" s="17"/>
      <c r="C155" s="7"/>
      <c r="D155" s="21" t="s">
        <v>132</v>
      </c>
      <c r="E155" s="7"/>
      <c r="F155" s="8"/>
      <c r="H155" s="6"/>
      <c r="I155" s="17"/>
      <c r="J155" s="7"/>
      <c r="K155" s="21" t="s">
        <v>132</v>
      </c>
      <c r="L155" s="7"/>
      <c r="M155" s="8"/>
      <c r="O155" s="6"/>
      <c r="P155" s="17"/>
      <c r="Q155" s="7"/>
      <c r="R155" s="21" t="s">
        <v>132</v>
      </c>
      <c r="S155" s="7"/>
      <c r="T155" s="8"/>
    </row>
    <row r="156" spans="1:20" ht="30.75">
      <c r="A156" s="9"/>
      <c r="B156" s="25">
        <v>1</v>
      </c>
      <c r="C156" s="22" t="s">
        <v>203</v>
      </c>
      <c r="D156" s="22" t="s">
        <v>133</v>
      </c>
      <c r="E156" s="25" t="s">
        <v>133</v>
      </c>
      <c r="F156" s="11"/>
      <c r="H156" s="9"/>
      <c r="I156" s="25">
        <v>1</v>
      </c>
      <c r="J156" s="22" t="s">
        <v>167</v>
      </c>
      <c r="K156" s="22" t="s">
        <v>133</v>
      </c>
      <c r="L156" s="25" t="s">
        <v>133</v>
      </c>
      <c r="M156" s="11"/>
      <c r="O156" s="9"/>
      <c r="P156" s="25">
        <v>1</v>
      </c>
      <c r="Q156" s="22" t="s">
        <v>235</v>
      </c>
      <c r="R156" s="22" t="s">
        <v>133</v>
      </c>
      <c r="S156" s="25" t="s">
        <v>133</v>
      </c>
      <c r="T156" s="11"/>
    </row>
    <row r="157" spans="1:20" ht="30.75">
      <c r="A157" s="9"/>
      <c r="B157" s="25">
        <v>2</v>
      </c>
      <c r="C157" s="22" t="s">
        <v>174</v>
      </c>
      <c r="D157" s="22" t="s">
        <v>133</v>
      </c>
      <c r="E157" s="25" t="s">
        <v>133</v>
      </c>
      <c r="F157" s="11"/>
      <c r="H157" s="9"/>
      <c r="I157" s="25">
        <v>2</v>
      </c>
      <c r="J157" s="22" t="s">
        <v>189</v>
      </c>
      <c r="K157" s="22" t="s">
        <v>133</v>
      </c>
      <c r="L157" s="25" t="s">
        <v>133</v>
      </c>
      <c r="M157" s="11"/>
      <c r="O157" s="9"/>
      <c r="P157" s="25">
        <v>2</v>
      </c>
      <c r="Q157" s="22" t="s">
        <v>134</v>
      </c>
      <c r="R157" s="22" t="s">
        <v>135</v>
      </c>
      <c r="S157" s="25" t="s">
        <v>224</v>
      </c>
      <c r="T157" s="11"/>
    </row>
    <row r="158" spans="1:20" ht="30.75">
      <c r="A158" s="9"/>
      <c r="B158" s="25">
        <v>3</v>
      </c>
      <c r="C158" s="22" t="s">
        <v>136</v>
      </c>
      <c r="D158" s="22" t="s">
        <v>137</v>
      </c>
      <c r="E158" s="25" t="s">
        <v>224</v>
      </c>
      <c r="F158" s="11"/>
      <c r="H158" s="9"/>
      <c r="I158" s="25">
        <v>3</v>
      </c>
      <c r="J158" s="22" t="s">
        <v>171</v>
      </c>
      <c r="K158" s="22" t="s">
        <v>133</v>
      </c>
      <c r="L158" s="25" t="s">
        <v>133</v>
      </c>
      <c r="M158" s="11"/>
      <c r="O158" s="9"/>
      <c r="P158" s="25">
        <v>3</v>
      </c>
      <c r="Q158" s="22" t="s">
        <v>140</v>
      </c>
      <c r="R158" s="22" t="s">
        <v>141</v>
      </c>
      <c r="S158" s="25" t="s">
        <v>224</v>
      </c>
      <c r="T158" s="11"/>
    </row>
    <row r="159" spans="1:20" ht="30.75">
      <c r="A159" s="9"/>
      <c r="B159" s="25">
        <v>4</v>
      </c>
      <c r="C159" s="22" t="s">
        <v>148</v>
      </c>
      <c r="D159" s="22" t="s">
        <v>133</v>
      </c>
      <c r="E159" s="25" t="s">
        <v>133</v>
      </c>
      <c r="F159" s="11"/>
      <c r="H159" s="9"/>
      <c r="I159" s="25">
        <v>4</v>
      </c>
      <c r="J159" s="22" t="s">
        <v>148</v>
      </c>
      <c r="K159" s="22" t="s">
        <v>133</v>
      </c>
      <c r="L159" s="25" t="s">
        <v>133</v>
      </c>
      <c r="M159" s="11"/>
      <c r="O159" s="9"/>
      <c r="P159" s="25">
        <v>4</v>
      </c>
      <c r="Q159" s="22" t="s">
        <v>180</v>
      </c>
      <c r="R159" s="22" t="s">
        <v>133</v>
      </c>
      <c r="S159" s="25" t="s">
        <v>133</v>
      </c>
      <c r="T159" s="11"/>
    </row>
    <row r="160" spans="1:20" ht="33.75" thickBot="1">
      <c r="A160" s="12"/>
      <c r="B160" s="23"/>
      <c r="C160" s="24"/>
      <c r="D160" s="24"/>
      <c r="E160" s="24"/>
      <c r="F160" s="13"/>
      <c r="H160" s="12"/>
      <c r="I160" s="23"/>
      <c r="J160" s="24"/>
      <c r="K160" s="24"/>
      <c r="L160" s="24"/>
      <c r="M160" s="13"/>
      <c r="O160" s="12"/>
      <c r="P160" s="23"/>
      <c r="Q160" s="24"/>
      <c r="R160" s="24"/>
      <c r="S160" s="24"/>
      <c r="T160" s="13"/>
    </row>
    <row r="161" spans="1:20" ht="15.75" thickBot="1"/>
    <row r="162" spans="1:20" ht="35.25">
      <c r="A162" s="6"/>
      <c r="B162" s="17"/>
      <c r="C162" s="7"/>
      <c r="D162" s="21" t="s">
        <v>132</v>
      </c>
      <c r="E162" s="7"/>
      <c r="F162" s="8"/>
      <c r="H162" s="6"/>
      <c r="I162" s="17"/>
      <c r="J162" s="7"/>
      <c r="K162" s="21" t="s">
        <v>132</v>
      </c>
      <c r="L162" s="7"/>
      <c r="M162" s="8"/>
      <c r="O162" s="6"/>
      <c r="P162" s="17"/>
      <c r="Q162" s="7"/>
      <c r="R162" s="21" t="s">
        <v>132</v>
      </c>
      <c r="S162" s="7"/>
      <c r="T162" s="8"/>
    </row>
    <row r="163" spans="1:20" ht="30.75">
      <c r="A163" s="9"/>
      <c r="B163" s="25">
        <v>1</v>
      </c>
      <c r="C163" s="22" t="s">
        <v>221</v>
      </c>
      <c r="D163" s="22" t="s">
        <v>222</v>
      </c>
      <c r="E163" s="25" t="s">
        <v>224</v>
      </c>
      <c r="F163" s="11"/>
      <c r="H163" s="9"/>
      <c r="I163" s="25">
        <v>1</v>
      </c>
      <c r="J163" s="22" t="s">
        <v>185</v>
      </c>
      <c r="K163" s="22" t="s">
        <v>133</v>
      </c>
      <c r="L163" s="25" t="s">
        <v>133</v>
      </c>
      <c r="M163" s="11"/>
      <c r="O163" s="9"/>
      <c r="P163" s="25">
        <v>1</v>
      </c>
      <c r="Q163" s="22" t="s">
        <v>184</v>
      </c>
      <c r="R163" s="22" t="s">
        <v>238</v>
      </c>
      <c r="S163" s="25" t="s">
        <v>224</v>
      </c>
      <c r="T163" s="11"/>
    </row>
    <row r="164" spans="1:20" ht="30.75">
      <c r="A164" s="9"/>
      <c r="B164" s="25">
        <v>2</v>
      </c>
      <c r="C164" s="22" t="s">
        <v>179</v>
      </c>
      <c r="D164" s="22" t="s">
        <v>133</v>
      </c>
      <c r="E164" s="25" t="s">
        <v>133</v>
      </c>
      <c r="F164" s="11"/>
      <c r="H164" s="9"/>
      <c r="I164" s="25">
        <v>2</v>
      </c>
      <c r="J164" s="22" t="s">
        <v>134</v>
      </c>
      <c r="K164" s="22" t="s">
        <v>135</v>
      </c>
      <c r="L164" s="25" t="s">
        <v>224</v>
      </c>
      <c r="M164" s="11"/>
      <c r="O164" s="9"/>
      <c r="P164" s="25">
        <v>2</v>
      </c>
      <c r="Q164" s="22" t="s">
        <v>179</v>
      </c>
      <c r="R164" s="22" t="s">
        <v>133</v>
      </c>
      <c r="S164" s="25" t="s">
        <v>133</v>
      </c>
      <c r="T164" s="11"/>
    </row>
    <row r="165" spans="1:20" ht="30.75">
      <c r="A165" s="9"/>
      <c r="B165" s="25">
        <v>3</v>
      </c>
      <c r="C165" s="22" t="s">
        <v>163</v>
      </c>
      <c r="D165" s="22" t="s">
        <v>133</v>
      </c>
      <c r="E165" s="25" t="s">
        <v>133</v>
      </c>
      <c r="F165" s="11"/>
      <c r="H165" s="9"/>
      <c r="I165" s="25">
        <v>3</v>
      </c>
      <c r="J165" s="22" t="s">
        <v>163</v>
      </c>
      <c r="K165" s="22" t="s">
        <v>133</v>
      </c>
      <c r="L165" s="25" t="s">
        <v>133</v>
      </c>
      <c r="M165" s="11"/>
      <c r="O165" s="9"/>
      <c r="P165" s="25">
        <v>3</v>
      </c>
      <c r="Q165" s="22" t="s">
        <v>136</v>
      </c>
      <c r="R165" s="22" t="s">
        <v>137</v>
      </c>
      <c r="S165" s="25" t="s">
        <v>224</v>
      </c>
      <c r="T165" s="11"/>
    </row>
    <row r="166" spans="1:20" ht="30.75">
      <c r="A166" s="9"/>
      <c r="B166" s="25">
        <v>4</v>
      </c>
      <c r="C166" s="22" t="s">
        <v>175</v>
      </c>
      <c r="D166" s="22" t="s">
        <v>133</v>
      </c>
      <c r="E166" s="25" t="s">
        <v>133</v>
      </c>
      <c r="F166" s="11"/>
      <c r="H166" s="9"/>
      <c r="I166" s="25">
        <v>4</v>
      </c>
      <c r="J166" s="22" t="s">
        <v>152</v>
      </c>
      <c r="K166" s="22" t="s">
        <v>133</v>
      </c>
      <c r="L166" s="25" t="s">
        <v>133</v>
      </c>
      <c r="M166" s="11"/>
      <c r="O166" s="9"/>
      <c r="P166" s="25">
        <v>4</v>
      </c>
      <c r="Q166" s="22" t="s">
        <v>161</v>
      </c>
      <c r="R166" s="22" t="s">
        <v>133</v>
      </c>
      <c r="S166" s="25" t="s">
        <v>133</v>
      </c>
      <c r="T166" s="11"/>
    </row>
    <row r="167" spans="1:20" ht="33.75" thickBot="1">
      <c r="A167" s="12"/>
      <c r="B167" s="23"/>
      <c r="C167" s="24"/>
      <c r="D167" s="24"/>
      <c r="E167" s="24"/>
      <c r="F167" s="13"/>
      <c r="H167" s="12"/>
      <c r="I167" s="23"/>
      <c r="J167" s="24"/>
      <c r="K167" s="24"/>
      <c r="L167" s="24"/>
      <c r="M167" s="13"/>
      <c r="O167" s="12"/>
      <c r="P167" s="23"/>
      <c r="Q167" s="24"/>
      <c r="R167" s="24"/>
      <c r="S167" s="24"/>
      <c r="T167" s="13"/>
    </row>
    <row r="168" spans="1:20" ht="15.75" thickBot="1"/>
    <row r="169" spans="1:20" ht="35.25">
      <c r="A169" s="6"/>
      <c r="B169" s="17"/>
      <c r="C169" s="7"/>
      <c r="D169" s="21" t="s">
        <v>132</v>
      </c>
      <c r="E169" s="7"/>
      <c r="F169" s="8"/>
      <c r="H169" s="6"/>
      <c r="I169" s="17"/>
      <c r="J169" s="7"/>
      <c r="K169" s="21" t="s">
        <v>132</v>
      </c>
      <c r="L169" s="7"/>
      <c r="M169" s="8"/>
      <c r="O169" s="6"/>
      <c r="P169" s="17"/>
      <c r="Q169" s="7"/>
      <c r="R169" s="21" t="s">
        <v>132</v>
      </c>
      <c r="S169" s="7"/>
      <c r="T169" s="8"/>
    </row>
    <row r="170" spans="1:20" ht="30.75">
      <c r="A170" s="9"/>
      <c r="B170" s="25">
        <v>1</v>
      </c>
      <c r="C170" s="22" t="s">
        <v>233</v>
      </c>
      <c r="D170" s="22" t="s">
        <v>133</v>
      </c>
      <c r="E170" s="25" t="s">
        <v>133</v>
      </c>
      <c r="F170" s="11"/>
      <c r="H170" s="9"/>
      <c r="I170" s="25">
        <v>1</v>
      </c>
      <c r="J170" s="22" t="s">
        <v>218</v>
      </c>
      <c r="K170" s="22" t="s">
        <v>133</v>
      </c>
      <c r="L170" s="25" t="s">
        <v>133</v>
      </c>
      <c r="M170" s="11"/>
      <c r="O170" s="9"/>
      <c r="P170" s="25">
        <v>1</v>
      </c>
      <c r="Q170" s="22" t="s">
        <v>142</v>
      </c>
      <c r="R170" s="22" t="s">
        <v>143</v>
      </c>
      <c r="S170" s="25" t="s">
        <v>224</v>
      </c>
      <c r="T170" s="11"/>
    </row>
    <row r="171" spans="1:20" ht="30.75">
      <c r="A171" s="9"/>
      <c r="B171" s="25">
        <v>2</v>
      </c>
      <c r="C171" s="22" t="s">
        <v>162</v>
      </c>
      <c r="D171" s="22" t="s">
        <v>133</v>
      </c>
      <c r="E171" s="25" t="s">
        <v>133</v>
      </c>
      <c r="F171" s="11"/>
      <c r="H171" s="9"/>
      <c r="I171" s="25">
        <v>2</v>
      </c>
      <c r="J171" s="22" t="s">
        <v>239</v>
      </c>
      <c r="K171" s="22" t="s">
        <v>150</v>
      </c>
      <c r="L171" s="25" t="s">
        <v>224</v>
      </c>
      <c r="M171" s="11"/>
      <c r="O171" s="9"/>
      <c r="P171" s="25">
        <v>2</v>
      </c>
      <c r="Q171" s="22" t="s">
        <v>179</v>
      </c>
      <c r="R171" s="22" t="s">
        <v>133</v>
      </c>
      <c r="S171" s="25" t="s">
        <v>133</v>
      </c>
      <c r="T171" s="11"/>
    </row>
    <row r="172" spans="1:20" ht="30.75">
      <c r="A172" s="9"/>
      <c r="B172" s="25">
        <v>3</v>
      </c>
      <c r="C172" s="22" t="s">
        <v>136</v>
      </c>
      <c r="D172" s="22" t="s">
        <v>137</v>
      </c>
      <c r="E172" s="25" t="s">
        <v>224</v>
      </c>
      <c r="F172" s="11"/>
      <c r="H172" s="9"/>
      <c r="I172" s="25">
        <v>3</v>
      </c>
      <c r="J172" s="22" t="s">
        <v>136</v>
      </c>
      <c r="K172" s="22" t="s">
        <v>137</v>
      </c>
      <c r="L172" s="25" t="s">
        <v>224</v>
      </c>
      <c r="M172" s="11"/>
      <c r="O172" s="9"/>
      <c r="P172" s="25">
        <v>3</v>
      </c>
      <c r="Q172" s="22" t="s">
        <v>140</v>
      </c>
      <c r="R172" s="22" t="s">
        <v>141</v>
      </c>
      <c r="S172" s="25" t="s">
        <v>224</v>
      </c>
      <c r="T172" s="11"/>
    </row>
    <row r="173" spans="1:20" ht="30.75">
      <c r="A173" s="9"/>
      <c r="B173" s="25">
        <v>4</v>
      </c>
      <c r="C173" s="22" t="s">
        <v>200</v>
      </c>
      <c r="D173" s="22" t="s">
        <v>133</v>
      </c>
      <c r="E173" s="25" t="s">
        <v>133</v>
      </c>
      <c r="F173" s="11"/>
      <c r="H173" s="9"/>
      <c r="I173" s="25">
        <v>4</v>
      </c>
      <c r="J173" s="22" t="s">
        <v>161</v>
      </c>
      <c r="K173" s="22" t="s">
        <v>133</v>
      </c>
      <c r="L173" s="25" t="s">
        <v>133</v>
      </c>
      <c r="M173" s="11"/>
      <c r="O173" s="9"/>
      <c r="P173" s="25">
        <v>4</v>
      </c>
      <c r="Q173" s="22" t="s">
        <v>180</v>
      </c>
      <c r="R173" s="22" t="s">
        <v>133</v>
      </c>
      <c r="S173" s="25" t="s">
        <v>133</v>
      </c>
      <c r="T173" s="11"/>
    </row>
    <row r="174" spans="1:20" ht="33.75" thickBot="1">
      <c r="A174" s="12"/>
      <c r="B174" s="23"/>
      <c r="C174" s="24"/>
      <c r="D174" s="24"/>
      <c r="E174" s="24"/>
      <c r="F174" s="13"/>
      <c r="H174" s="12"/>
      <c r="I174" s="23"/>
      <c r="J174" s="24"/>
      <c r="K174" s="24"/>
      <c r="L174" s="24"/>
      <c r="M174" s="13"/>
      <c r="O174" s="12"/>
      <c r="P174" s="23"/>
      <c r="Q174" s="24"/>
      <c r="R174" s="24"/>
      <c r="S174" s="24"/>
      <c r="T174" s="13"/>
    </row>
    <row r="175" spans="1:20" ht="15.75" thickBot="1"/>
    <row r="176" spans="1:20" ht="35.25">
      <c r="A176" s="6"/>
      <c r="B176" s="17"/>
      <c r="C176" s="7"/>
      <c r="D176" s="21" t="s">
        <v>132</v>
      </c>
      <c r="E176" s="7"/>
      <c r="F176" s="8"/>
      <c r="H176" s="6"/>
      <c r="I176" s="17"/>
      <c r="J176" s="7"/>
      <c r="K176" s="21" t="s">
        <v>132</v>
      </c>
      <c r="L176" s="7"/>
      <c r="M176" s="8"/>
      <c r="O176" s="6"/>
      <c r="P176" s="17"/>
      <c r="Q176" s="7"/>
      <c r="R176" s="21" t="s">
        <v>132</v>
      </c>
      <c r="S176" s="7"/>
      <c r="T176" s="8"/>
    </row>
    <row r="177" spans="1:20" ht="30.75">
      <c r="A177" s="9"/>
      <c r="B177" s="25">
        <v>1</v>
      </c>
      <c r="C177" s="22" t="s">
        <v>149</v>
      </c>
      <c r="D177" s="22" t="s">
        <v>133</v>
      </c>
      <c r="E177" s="25" t="s">
        <v>133</v>
      </c>
      <c r="F177" s="11"/>
      <c r="H177" s="9"/>
      <c r="I177" s="25">
        <v>1</v>
      </c>
      <c r="J177" s="22" t="s">
        <v>234</v>
      </c>
      <c r="K177" s="22" t="s">
        <v>133</v>
      </c>
      <c r="L177" s="25" t="s">
        <v>133</v>
      </c>
      <c r="M177" s="11"/>
      <c r="O177" s="9"/>
      <c r="P177" s="25">
        <v>1</v>
      </c>
      <c r="Q177" s="22" t="s">
        <v>211</v>
      </c>
      <c r="R177" s="22" t="s">
        <v>133</v>
      </c>
      <c r="S177" s="25" t="s">
        <v>133</v>
      </c>
      <c r="T177" s="11"/>
    </row>
    <row r="178" spans="1:20" ht="30.75">
      <c r="A178" s="9"/>
      <c r="B178" s="25">
        <v>2</v>
      </c>
      <c r="C178" s="22" t="s">
        <v>183</v>
      </c>
      <c r="D178" s="22" t="s">
        <v>133</v>
      </c>
      <c r="E178" s="25" t="s">
        <v>133</v>
      </c>
      <c r="F178" s="11"/>
      <c r="H178" s="9"/>
      <c r="I178" s="25">
        <v>2</v>
      </c>
      <c r="J178" s="22" t="s">
        <v>193</v>
      </c>
      <c r="K178" s="22" t="s">
        <v>133</v>
      </c>
      <c r="L178" s="25" t="s">
        <v>133</v>
      </c>
      <c r="M178" s="11"/>
      <c r="O178" s="9"/>
      <c r="P178" s="25">
        <v>2</v>
      </c>
      <c r="Q178" s="22" t="s">
        <v>215</v>
      </c>
      <c r="R178" s="22" t="s">
        <v>216</v>
      </c>
      <c r="S178" s="25" t="s">
        <v>224</v>
      </c>
      <c r="T178" s="11"/>
    </row>
    <row r="179" spans="1:20" ht="30.75">
      <c r="A179" s="9"/>
      <c r="B179" s="25">
        <v>3</v>
      </c>
      <c r="C179" s="22" t="s">
        <v>186</v>
      </c>
      <c r="D179" s="22" t="s">
        <v>187</v>
      </c>
      <c r="E179" s="25" t="s">
        <v>224</v>
      </c>
      <c r="F179" s="11"/>
      <c r="H179" s="9"/>
      <c r="I179" s="25">
        <v>3</v>
      </c>
      <c r="J179" s="22" t="s">
        <v>136</v>
      </c>
      <c r="K179" s="22" t="s">
        <v>137</v>
      </c>
      <c r="L179" s="25" t="s">
        <v>224</v>
      </c>
      <c r="M179" s="11"/>
      <c r="O179" s="9"/>
      <c r="P179" s="25">
        <v>3</v>
      </c>
      <c r="Q179" s="22" t="s">
        <v>140</v>
      </c>
      <c r="R179" s="22" t="s">
        <v>141</v>
      </c>
      <c r="S179" s="25" t="s">
        <v>224</v>
      </c>
      <c r="T179" s="11"/>
    </row>
    <row r="180" spans="1:20" ht="30.75">
      <c r="A180" s="9"/>
      <c r="B180" s="25">
        <v>4</v>
      </c>
      <c r="C180" s="22" t="s">
        <v>161</v>
      </c>
      <c r="D180" s="22" t="s">
        <v>133</v>
      </c>
      <c r="E180" s="25" t="s">
        <v>133</v>
      </c>
      <c r="F180" s="11"/>
      <c r="H180" s="9"/>
      <c r="I180" s="25">
        <v>4</v>
      </c>
      <c r="J180" s="22" t="s">
        <v>188</v>
      </c>
      <c r="K180" s="22" t="s">
        <v>133</v>
      </c>
      <c r="L180" s="25" t="s">
        <v>133</v>
      </c>
      <c r="M180" s="11"/>
      <c r="O180" s="9"/>
      <c r="P180" s="25">
        <v>4</v>
      </c>
      <c r="Q180" s="22" t="s">
        <v>161</v>
      </c>
      <c r="R180" s="22" t="s">
        <v>133</v>
      </c>
      <c r="S180" s="25" t="s">
        <v>133</v>
      </c>
      <c r="T180" s="11"/>
    </row>
    <row r="181" spans="1:20" ht="33.75" thickBot="1">
      <c r="A181" s="12"/>
      <c r="B181" s="23"/>
      <c r="C181" s="24"/>
      <c r="D181" s="24"/>
      <c r="E181" s="24"/>
      <c r="F181" s="13"/>
      <c r="H181" s="12"/>
      <c r="I181" s="23"/>
      <c r="J181" s="24"/>
      <c r="K181" s="24"/>
      <c r="L181" s="24"/>
      <c r="M181" s="13"/>
      <c r="O181" s="12"/>
      <c r="P181" s="23"/>
      <c r="Q181" s="24"/>
      <c r="R181" s="24"/>
      <c r="S181" s="24"/>
      <c r="T181" s="13"/>
    </row>
    <row r="182" spans="1:20" ht="15.75" thickBot="1"/>
    <row r="183" spans="1:20" ht="35.25">
      <c r="A183" s="6"/>
      <c r="B183" s="17"/>
      <c r="C183" s="7"/>
      <c r="D183" s="21" t="s">
        <v>132</v>
      </c>
      <c r="E183" s="7"/>
      <c r="F183" s="8"/>
      <c r="H183" s="6"/>
      <c r="I183" s="17"/>
      <c r="J183" s="7"/>
      <c r="K183" s="21" t="s">
        <v>132</v>
      </c>
      <c r="L183" s="7"/>
      <c r="M183" s="8"/>
      <c r="O183" s="6"/>
      <c r="P183" s="17"/>
      <c r="Q183" s="7"/>
      <c r="R183" s="21" t="s">
        <v>132</v>
      </c>
      <c r="S183" s="7"/>
      <c r="T183" s="8"/>
    </row>
    <row r="184" spans="1:20" ht="30.75">
      <c r="A184" s="9"/>
      <c r="B184" s="25">
        <v>1</v>
      </c>
      <c r="C184" s="22" t="s">
        <v>233</v>
      </c>
      <c r="D184" s="22" t="s">
        <v>133</v>
      </c>
      <c r="E184" s="25" t="s">
        <v>133</v>
      </c>
      <c r="F184" s="11"/>
      <c r="H184" s="9"/>
      <c r="I184" s="25">
        <v>1</v>
      </c>
      <c r="J184" s="22" t="s">
        <v>178</v>
      </c>
      <c r="K184" s="22" t="s">
        <v>111</v>
      </c>
      <c r="L184" s="25" t="s">
        <v>224</v>
      </c>
      <c r="M184" s="11"/>
      <c r="O184" s="9"/>
      <c r="P184" s="25">
        <v>1</v>
      </c>
      <c r="Q184" s="22" t="s">
        <v>212</v>
      </c>
      <c r="R184" s="22" t="s">
        <v>133</v>
      </c>
      <c r="S184" s="25" t="s">
        <v>133</v>
      </c>
      <c r="T184" s="11"/>
    </row>
    <row r="185" spans="1:20" ht="30.75">
      <c r="A185" s="9"/>
      <c r="B185" s="25">
        <v>2</v>
      </c>
      <c r="C185" s="22" t="s">
        <v>169</v>
      </c>
      <c r="D185" s="22" t="s">
        <v>170</v>
      </c>
      <c r="E185" s="25" t="s">
        <v>224</v>
      </c>
      <c r="F185" s="11"/>
      <c r="H185" s="9"/>
      <c r="I185" s="25">
        <v>2</v>
      </c>
      <c r="J185" s="22" t="s">
        <v>144</v>
      </c>
      <c r="K185" s="22" t="s">
        <v>145</v>
      </c>
      <c r="L185" s="25" t="s">
        <v>224</v>
      </c>
      <c r="M185" s="11"/>
      <c r="O185" s="9"/>
      <c r="P185" s="25">
        <v>2</v>
      </c>
      <c r="Q185" s="22" t="s">
        <v>183</v>
      </c>
      <c r="R185" s="22" t="s">
        <v>133</v>
      </c>
      <c r="S185" s="25" t="s">
        <v>133</v>
      </c>
      <c r="T185" s="11"/>
    </row>
    <row r="186" spans="1:20" ht="30.75">
      <c r="A186" s="9"/>
      <c r="B186" s="25">
        <v>3</v>
      </c>
      <c r="C186" s="22" t="s">
        <v>186</v>
      </c>
      <c r="D186" s="22" t="s">
        <v>187</v>
      </c>
      <c r="E186" s="25" t="s">
        <v>224</v>
      </c>
      <c r="F186" s="11"/>
      <c r="H186" s="9"/>
      <c r="I186" s="25">
        <v>3</v>
      </c>
      <c r="J186" s="22" t="s">
        <v>140</v>
      </c>
      <c r="K186" s="22" t="s">
        <v>141</v>
      </c>
      <c r="L186" s="25" t="s">
        <v>224</v>
      </c>
      <c r="M186" s="11"/>
      <c r="O186" s="9"/>
      <c r="P186" s="25">
        <v>3</v>
      </c>
      <c r="Q186" s="22" t="s">
        <v>151</v>
      </c>
      <c r="R186" s="22" t="s">
        <v>133</v>
      </c>
      <c r="S186" s="25" t="s">
        <v>133</v>
      </c>
      <c r="T186" s="11"/>
    </row>
    <row r="187" spans="1:20" ht="30.75">
      <c r="A187" s="9"/>
      <c r="B187" s="25">
        <v>4</v>
      </c>
      <c r="C187" s="22" t="s">
        <v>148</v>
      </c>
      <c r="D187" s="22" t="s">
        <v>133</v>
      </c>
      <c r="E187" s="25" t="s">
        <v>133</v>
      </c>
      <c r="F187" s="11"/>
      <c r="H187" s="9"/>
      <c r="I187" s="25">
        <v>4</v>
      </c>
      <c r="J187" s="22" t="s">
        <v>200</v>
      </c>
      <c r="K187" s="22" t="s">
        <v>133</v>
      </c>
      <c r="L187" s="25" t="s">
        <v>133</v>
      </c>
      <c r="M187" s="11"/>
      <c r="O187" s="9"/>
      <c r="P187" s="25">
        <v>4</v>
      </c>
      <c r="Q187" s="22" t="s">
        <v>161</v>
      </c>
      <c r="R187" s="22" t="s">
        <v>133</v>
      </c>
      <c r="S187" s="25" t="s">
        <v>133</v>
      </c>
      <c r="T187" s="11"/>
    </row>
    <row r="188" spans="1:20" ht="33.75" thickBot="1">
      <c r="A188" s="12"/>
      <c r="B188" s="23"/>
      <c r="C188" s="24"/>
      <c r="D188" s="24"/>
      <c r="E188" s="24"/>
      <c r="F188" s="13"/>
      <c r="H188" s="12"/>
      <c r="I188" s="23"/>
      <c r="J188" s="24"/>
      <c r="K188" s="24"/>
      <c r="L188" s="24"/>
      <c r="M188" s="13"/>
      <c r="O188" s="12"/>
      <c r="P188" s="23"/>
      <c r="Q188" s="24"/>
      <c r="R188" s="24"/>
      <c r="S188" s="24"/>
      <c r="T188" s="13"/>
    </row>
    <row r="189" spans="1:20" ht="15.75" thickBot="1"/>
    <row r="190" spans="1:20" ht="35.25">
      <c r="A190" s="6"/>
      <c r="B190" s="17"/>
      <c r="C190" s="7"/>
      <c r="D190" s="21" t="s">
        <v>132</v>
      </c>
      <c r="E190" s="7"/>
      <c r="F190" s="8"/>
      <c r="H190" s="6"/>
      <c r="I190" s="17"/>
      <c r="J190" s="7"/>
      <c r="K190" s="21" t="s">
        <v>132</v>
      </c>
      <c r="L190" s="7"/>
      <c r="M190" s="8"/>
      <c r="O190" s="6"/>
      <c r="P190" s="17"/>
      <c r="Q190" s="7"/>
      <c r="R190" s="21" t="s">
        <v>132</v>
      </c>
      <c r="S190" s="7"/>
      <c r="T190" s="8"/>
    </row>
    <row r="191" spans="1:20" ht="30.75">
      <c r="A191" s="9"/>
      <c r="B191" s="25">
        <v>1</v>
      </c>
      <c r="C191" s="22" t="s">
        <v>192</v>
      </c>
      <c r="D191" s="22" t="s">
        <v>133</v>
      </c>
      <c r="E191" s="25" t="s">
        <v>133</v>
      </c>
      <c r="F191" s="11"/>
      <c r="H191" s="9"/>
      <c r="I191" s="25">
        <v>1</v>
      </c>
      <c r="J191" s="22" t="s">
        <v>178</v>
      </c>
      <c r="K191" s="22" t="s">
        <v>111</v>
      </c>
      <c r="L191" s="25" t="s">
        <v>224</v>
      </c>
      <c r="M191" s="11"/>
      <c r="O191" s="9"/>
      <c r="P191" s="25">
        <v>1</v>
      </c>
      <c r="Q191" s="22" t="s">
        <v>153</v>
      </c>
      <c r="R191" s="22" t="s">
        <v>133</v>
      </c>
      <c r="S191" s="25" t="s">
        <v>133</v>
      </c>
      <c r="T191" s="11"/>
    </row>
    <row r="192" spans="1:20" ht="30.75">
      <c r="A192" s="9"/>
      <c r="B192" s="25">
        <v>2</v>
      </c>
      <c r="C192" s="22" t="s">
        <v>139</v>
      </c>
      <c r="D192" s="22" t="s">
        <v>133</v>
      </c>
      <c r="E192" s="25" t="s">
        <v>133</v>
      </c>
      <c r="F192" s="11"/>
      <c r="H192" s="9"/>
      <c r="I192" s="25">
        <v>2</v>
      </c>
      <c r="J192" s="22" t="s">
        <v>144</v>
      </c>
      <c r="K192" s="22" t="s">
        <v>145</v>
      </c>
      <c r="L192" s="25" t="s">
        <v>224</v>
      </c>
      <c r="M192" s="11"/>
      <c r="O192" s="9"/>
      <c r="P192" s="25">
        <v>2</v>
      </c>
      <c r="Q192" s="22" t="s">
        <v>162</v>
      </c>
      <c r="R192" s="22" t="s">
        <v>133</v>
      </c>
      <c r="S192" s="25" t="s">
        <v>133</v>
      </c>
      <c r="T192" s="11"/>
    </row>
    <row r="193" spans="1:20" ht="30.75">
      <c r="A193" s="9"/>
      <c r="B193" s="25">
        <v>3</v>
      </c>
      <c r="C193" s="22" t="s">
        <v>171</v>
      </c>
      <c r="D193" s="22" t="s">
        <v>133</v>
      </c>
      <c r="E193" s="25" t="s">
        <v>133</v>
      </c>
      <c r="F193" s="11"/>
      <c r="H193" s="9"/>
      <c r="I193" s="25">
        <v>3</v>
      </c>
      <c r="J193" s="22" t="s">
        <v>136</v>
      </c>
      <c r="K193" s="22" t="s">
        <v>137</v>
      </c>
      <c r="L193" s="25" t="s">
        <v>224</v>
      </c>
      <c r="M193" s="11"/>
      <c r="O193" s="9"/>
      <c r="P193" s="25">
        <v>3</v>
      </c>
      <c r="Q193" s="22" t="s">
        <v>140</v>
      </c>
      <c r="R193" s="22" t="s">
        <v>141</v>
      </c>
      <c r="S193" s="25" t="s">
        <v>224</v>
      </c>
      <c r="T193" s="11"/>
    </row>
    <row r="194" spans="1:20" ht="30.75">
      <c r="A194" s="9"/>
      <c r="B194" s="25">
        <v>4</v>
      </c>
      <c r="C194" s="22" t="s">
        <v>165</v>
      </c>
      <c r="D194" s="22" t="s">
        <v>166</v>
      </c>
      <c r="E194" s="25" t="s">
        <v>224</v>
      </c>
      <c r="F194" s="11"/>
      <c r="H194" s="9"/>
      <c r="I194" s="25">
        <v>4</v>
      </c>
      <c r="J194" s="22" t="s">
        <v>204</v>
      </c>
      <c r="K194" s="22" t="s">
        <v>133</v>
      </c>
      <c r="L194" s="25" t="s">
        <v>133</v>
      </c>
      <c r="M194" s="11"/>
      <c r="O194" s="9"/>
      <c r="P194" s="25">
        <v>4</v>
      </c>
      <c r="Q194" s="22" t="s">
        <v>152</v>
      </c>
      <c r="R194" s="22" t="s">
        <v>133</v>
      </c>
      <c r="S194" s="25" t="s">
        <v>133</v>
      </c>
      <c r="T194" s="11"/>
    </row>
    <row r="195" spans="1:20" ht="33.75" thickBot="1">
      <c r="A195" s="12"/>
      <c r="B195" s="23"/>
      <c r="C195" s="24"/>
      <c r="D195" s="24"/>
      <c r="E195" s="24"/>
      <c r="F195" s="13"/>
      <c r="H195" s="12"/>
      <c r="I195" s="23"/>
      <c r="J195" s="24"/>
      <c r="K195" s="24"/>
      <c r="L195" s="24"/>
      <c r="M195" s="13"/>
      <c r="O195" s="12"/>
      <c r="P195" s="23"/>
      <c r="Q195" s="24"/>
      <c r="R195" s="24"/>
      <c r="S195" s="24"/>
      <c r="T195" s="13"/>
    </row>
    <row r="196" spans="1:20" ht="15.75" thickBot="1"/>
    <row r="197" spans="1:20" ht="35.25">
      <c r="A197" s="6"/>
      <c r="B197" s="17"/>
      <c r="C197" s="7"/>
      <c r="D197" s="21" t="s">
        <v>132</v>
      </c>
      <c r="E197" s="7"/>
      <c r="F197" s="8"/>
      <c r="H197" s="6"/>
      <c r="I197" s="17"/>
      <c r="J197" s="7"/>
      <c r="K197" s="21" t="s">
        <v>132</v>
      </c>
      <c r="L197" s="7"/>
      <c r="M197" s="8"/>
      <c r="O197" s="6"/>
      <c r="P197" s="17"/>
      <c r="Q197" s="7"/>
      <c r="R197" s="21" t="s">
        <v>132</v>
      </c>
      <c r="S197" s="7"/>
      <c r="T197" s="8"/>
    </row>
    <row r="198" spans="1:20" ht="30.75">
      <c r="A198" s="9"/>
      <c r="B198" s="25">
        <v>1</v>
      </c>
      <c r="C198" s="22" t="s">
        <v>208</v>
      </c>
      <c r="D198" s="22" t="s">
        <v>133</v>
      </c>
      <c r="E198" s="25" t="s">
        <v>133</v>
      </c>
      <c r="F198" s="11"/>
      <c r="H198" s="9"/>
      <c r="I198" s="25">
        <v>1</v>
      </c>
      <c r="J198" s="22" t="s">
        <v>250</v>
      </c>
      <c r="K198" s="22" t="s">
        <v>133</v>
      </c>
      <c r="L198" s="25" t="s">
        <v>133</v>
      </c>
      <c r="M198" s="11"/>
      <c r="O198" s="9"/>
      <c r="P198" s="25">
        <v>1</v>
      </c>
      <c r="Q198" s="22" t="s">
        <v>240</v>
      </c>
      <c r="R198" s="22" t="s">
        <v>227</v>
      </c>
      <c r="S198" s="25" t="s">
        <v>224</v>
      </c>
      <c r="T198" s="11"/>
    </row>
    <row r="199" spans="1:20" ht="30.75">
      <c r="A199" s="9"/>
      <c r="B199" s="25">
        <v>2</v>
      </c>
      <c r="C199" s="22" t="s">
        <v>154</v>
      </c>
      <c r="D199" s="22" t="s">
        <v>133</v>
      </c>
      <c r="E199" s="25" t="s">
        <v>133</v>
      </c>
      <c r="F199" s="11"/>
      <c r="H199" s="9"/>
      <c r="I199" s="25">
        <v>2</v>
      </c>
      <c r="J199" s="22" t="s">
        <v>239</v>
      </c>
      <c r="K199" s="22" t="s">
        <v>150</v>
      </c>
      <c r="L199" s="25" t="s">
        <v>224</v>
      </c>
      <c r="M199" s="11"/>
      <c r="O199" s="9"/>
      <c r="P199" s="25">
        <v>2</v>
      </c>
      <c r="Q199" s="22" t="s">
        <v>144</v>
      </c>
      <c r="R199" s="22" t="s">
        <v>145</v>
      </c>
      <c r="S199" s="25" t="s">
        <v>224</v>
      </c>
      <c r="T199" s="11"/>
    </row>
    <row r="200" spans="1:20" ht="30.75">
      <c r="A200" s="9"/>
      <c r="B200" s="25">
        <v>3</v>
      </c>
      <c r="C200" s="22" t="s">
        <v>146</v>
      </c>
      <c r="D200" s="22" t="s">
        <v>147</v>
      </c>
      <c r="E200" s="25" t="s">
        <v>224</v>
      </c>
      <c r="F200" s="11"/>
      <c r="H200" s="9"/>
      <c r="I200" s="25">
        <v>3</v>
      </c>
      <c r="J200" s="22" t="s">
        <v>136</v>
      </c>
      <c r="K200" s="22" t="s">
        <v>137</v>
      </c>
      <c r="L200" s="25" t="s">
        <v>224</v>
      </c>
      <c r="M200" s="11"/>
      <c r="O200" s="9"/>
      <c r="P200" s="25">
        <v>3</v>
      </c>
      <c r="Q200" s="22" t="s">
        <v>136</v>
      </c>
      <c r="R200" s="22" t="s">
        <v>137</v>
      </c>
      <c r="S200" s="25" t="s">
        <v>224</v>
      </c>
      <c r="T200" s="11"/>
    </row>
    <row r="201" spans="1:20" ht="30.75">
      <c r="A201" s="9"/>
      <c r="B201" s="25">
        <v>4</v>
      </c>
      <c r="C201" s="22" t="s">
        <v>138</v>
      </c>
      <c r="D201" s="22" t="s">
        <v>133</v>
      </c>
      <c r="E201" s="25" t="s">
        <v>133</v>
      </c>
      <c r="F201" s="11"/>
      <c r="H201" s="9"/>
      <c r="I201" s="25">
        <v>4</v>
      </c>
      <c r="J201" s="22" t="s">
        <v>161</v>
      </c>
      <c r="K201" s="22" t="s">
        <v>133</v>
      </c>
      <c r="L201" s="25" t="s">
        <v>133</v>
      </c>
      <c r="M201" s="11"/>
      <c r="O201" s="9"/>
      <c r="P201" s="25">
        <v>4</v>
      </c>
      <c r="Q201" s="22" t="s">
        <v>138</v>
      </c>
      <c r="R201" s="22" t="s">
        <v>133</v>
      </c>
      <c r="S201" s="25" t="s">
        <v>133</v>
      </c>
      <c r="T201" s="11"/>
    </row>
    <row r="202" spans="1:20" ht="33.75" thickBot="1">
      <c r="A202" s="12"/>
      <c r="B202" s="23"/>
      <c r="C202" s="24"/>
      <c r="D202" s="24"/>
      <c r="E202" s="24"/>
      <c r="F202" s="13"/>
      <c r="H202" s="12"/>
      <c r="I202" s="23"/>
      <c r="J202" s="24"/>
      <c r="K202" s="24"/>
      <c r="L202" s="24"/>
      <c r="M202" s="13"/>
      <c r="O202" s="12"/>
      <c r="P202" s="23"/>
      <c r="Q202" s="24"/>
      <c r="R202" s="24"/>
      <c r="S202" s="24"/>
      <c r="T202" s="13"/>
    </row>
    <row r="203" spans="1:20" ht="15.75" thickBot="1"/>
    <row r="204" spans="1:20" ht="35.25">
      <c r="A204" s="6"/>
      <c r="B204" s="17"/>
      <c r="C204" s="7"/>
      <c r="D204" s="21" t="s">
        <v>132</v>
      </c>
      <c r="E204" s="7"/>
      <c r="F204" s="8"/>
      <c r="H204" s="6"/>
      <c r="I204" s="17"/>
      <c r="J204" s="7"/>
      <c r="K204" s="21" t="s">
        <v>132</v>
      </c>
      <c r="L204" s="7"/>
      <c r="M204" s="8"/>
      <c r="O204" s="6"/>
      <c r="P204" s="17"/>
      <c r="Q204" s="7"/>
      <c r="R204" s="21" t="s">
        <v>132</v>
      </c>
      <c r="S204" s="7"/>
      <c r="T204" s="8"/>
    </row>
    <row r="205" spans="1:20" ht="30.75">
      <c r="A205" s="9"/>
      <c r="B205" s="25">
        <v>1</v>
      </c>
      <c r="C205" s="22" t="s">
        <v>221</v>
      </c>
      <c r="D205" s="22" t="s">
        <v>222</v>
      </c>
      <c r="E205" s="25" t="s">
        <v>224</v>
      </c>
      <c r="F205" s="11"/>
      <c r="H205" s="9"/>
      <c r="I205" s="25">
        <v>1</v>
      </c>
      <c r="J205" s="22" t="s">
        <v>250</v>
      </c>
      <c r="K205" s="22" t="s">
        <v>133</v>
      </c>
      <c r="L205" s="25" t="s">
        <v>133</v>
      </c>
      <c r="M205" s="11"/>
      <c r="O205" s="9"/>
      <c r="P205" s="25">
        <v>1</v>
      </c>
      <c r="Q205" s="22" t="s">
        <v>217</v>
      </c>
      <c r="R205" s="22" t="s">
        <v>133</v>
      </c>
      <c r="S205" s="25" t="s">
        <v>133</v>
      </c>
      <c r="T205" s="11"/>
    </row>
    <row r="206" spans="1:20" ht="30.75">
      <c r="A206" s="9"/>
      <c r="B206" s="25">
        <v>2</v>
      </c>
      <c r="C206" s="22" t="s">
        <v>139</v>
      </c>
      <c r="D206" s="22" t="s">
        <v>133</v>
      </c>
      <c r="E206" s="25" t="s">
        <v>133</v>
      </c>
      <c r="F206" s="11"/>
      <c r="H206" s="9"/>
      <c r="I206" s="25">
        <v>2</v>
      </c>
      <c r="J206" s="22" t="s">
        <v>174</v>
      </c>
      <c r="K206" s="22" t="s">
        <v>133</v>
      </c>
      <c r="L206" s="25" t="s">
        <v>133</v>
      </c>
      <c r="M206" s="11"/>
      <c r="O206" s="9"/>
      <c r="P206" s="25">
        <v>2</v>
      </c>
      <c r="Q206" s="22" t="s">
        <v>183</v>
      </c>
      <c r="R206" s="22" t="s">
        <v>133</v>
      </c>
      <c r="S206" s="25" t="s">
        <v>133</v>
      </c>
      <c r="T206" s="11"/>
    </row>
    <row r="207" spans="1:20" ht="30.75">
      <c r="A207" s="9"/>
      <c r="B207" s="25">
        <v>3</v>
      </c>
      <c r="C207" s="22" t="s">
        <v>171</v>
      </c>
      <c r="D207" s="22" t="s">
        <v>133</v>
      </c>
      <c r="E207" s="25" t="s">
        <v>133</v>
      </c>
      <c r="F207" s="11"/>
      <c r="H207" s="9"/>
      <c r="I207" s="25">
        <v>3</v>
      </c>
      <c r="J207" s="22" t="s">
        <v>171</v>
      </c>
      <c r="K207" s="22" t="s">
        <v>133</v>
      </c>
      <c r="L207" s="25" t="s">
        <v>133</v>
      </c>
      <c r="M207" s="11"/>
      <c r="O207" s="9"/>
      <c r="P207" s="25">
        <v>3</v>
      </c>
      <c r="Q207" s="22" t="s">
        <v>186</v>
      </c>
      <c r="R207" s="22" t="s">
        <v>187</v>
      </c>
      <c r="S207" s="25" t="s">
        <v>224</v>
      </c>
      <c r="T207" s="11"/>
    </row>
    <row r="208" spans="1:20" ht="30.75">
      <c r="A208" s="9"/>
      <c r="B208" s="25">
        <v>4</v>
      </c>
      <c r="C208" s="22" t="s">
        <v>204</v>
      </c>
      <c r="D208" s="22" t="s">
        <v>133</v>
      </c>
      <c r="E208" s="25" t="s">
        <v>133</v>
      </c>
      <c r="F208" s="11"/>
      <c r="H208" s="9"/>
      <c r="I208" s="25">
        <v>4</v>
      </c>
      <c r="J208" s="22" t="s">
        <v>188</v>
      </c>
      <c r="K208" s="22" t="s">
        <v>133</v>
      </c>
      <c r="L208" s="25" t="s">
        <v>133</v>
      </c>
      <c r="M208" s="11"/>
      <c r="O208" s="9"/>
      <c r="P208" s="25">
        <v>4</v>
      </c>
      <c r="Q208" s="22" t="s">
        <v>204</v>
      </c>
      <c r="R208" s="22" t="s">
        <v>133</v>
      </c>
      <c r="S208" s="25" t="s">
        <v>133</v>
      </c>
      <c r="T208" s="11"/>
    </row>
    <row r="209" spans="1:20" ht="33.75" thickBot="1">
      <c r="A209" s="12"/>
      <c r="B209" s="23"/>
      <c r="C209" s="24"/>
      <c r="D209" s="24"/>
      <c r="E209" s="24"/>
      <c r="F209" s="13"/>
      <c r="H209" s="12"/>
      <c r="I209" s="23"/>
      <c r="J209" s="24"/>
      <c r="K209" s="24"/>
      <c r="L209" s="24"/>
      <c r="M209" s="13"/>
      <c r="O209" s="12"/>
      <c r="P209" s="23"/>
      <c r="Q209" s="24"/>
      <c r="R209" s="24"/>
      <c r="S209" s="24"/>
      <c r="T209" s="13"/>
    </row>
  </sheetData>
  <pageMargins left="0.25" right="0.25" top="0.75" bottom="0.75" header="0.3" footer="0.3"/>
  <pageSetup paperSize="9" scale="31" fitToHeight="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5CC8-FA79-4CA8-BD24-6A88F4AA9E02}">
  <sheetPr>
    <pageSetUpPr fitToPage="1"/>
  </sheetPr>
  <dimension ref="A1:W38"/>
  <sheetViews>
    <sheetView showGridLines="0" tabSelected="1" topLeftCell="F1" zoomScale="40" zoomScaleNormal="40" workbookViewId="0">
      <selection activeCell="I17" sqref="I17"/>
    </sheetView>
  </sheetViews>
  <sheetFormatPr defaultRowHeight="15"/>
  <cols>
    <col min="1" max="5" width="9.140625" hidden="1" customWidth="1"/>
    <col min="6" max="6" width="5" customWidth="1"/>
    <col min="7" max="7" width="8.85546875" customWidth="1"/>
    <col min="8" max="8" width="21" customWidth="1"/>
    <col min="9" max="9" width="29.140625" customWidth="1"/>
    <col min="10" max="11" width="11.42578125" customWidth="1"/>
    <col min="13" max="17" width="0" hidden="1" customWidth="1"/>
    <col min="18" max="18" width="5" customWidth="1"/>
    <col min="19" max="19" width="8.85546875" customWidth="1"/>
    <col min="20" max="20" width="21" customWidth="1"/>
    <col min="21" max="21" width="29.140625" customWidth="1"/>
    <col min="22" max="23" width="11.42578125" customWidth="1"/>
  </cols>
  <sheetData>
    <row r="1" spans="1:23" ht="35.25">
      <c r="A1" s="36" t="s">
        <v>256</v>
      </c>
      <c r="B1" s="37" t="s">
        <v>257</v>
      </c>
      <c r="C1" s="37" t="s">
        <v>258</v>
      </c>
      <c r="D1" s="38" t="s">
        <v>259</v>
      </c>
      <c r="E1" s="26"/>
      <c r="F1" s="6"/>
      <c r="G1" s="17"/>
      <c r="H1" s="7"/>
      <c r="I1" s="21" t="s">
        <v>132</v>
      </c>
      <c r="J1" s="7"/>
      <c r="K1" s="8"/>
      <c r="M1" s="36" t="s">
        <v>256</v>
      </c>
      <c r="N1" s="37" t="s">
        <v>257</v>
      </c>
      <c r="O1" s="37" t="s">
        <v>258</v>
      </c>
      <c r="P1" s="38" t="s">
        <v>259</v>
      </c>
      <c r="Q1" s="26"/>
      <c r="R1" s="6"/>
      <c r="S1" s="17"/>
      <c r="T1" s="7"/>
      <c r="U1" s="21" t="s">
        <v>132</v>
      </c>
      <c r="V1" s="7"/>
      <c r="W1" s="8"/>
    </row>
    <row r="2" spans="1:23" ht="30.75">
      <c r="A2" s="29">
        <f ca="1">+INT(RANDBETWEEN(1,COUNTA(Words!$K:$K)))</f>
        <v>8</v>
      </c>
      <c r="B2" s="30" t="str" cm="1">
        <f t="array" aca="1" ref="B2" ca="1">INDEX(Words!$K:$K,A2)</f>
        <v>boy</v>
      </c>
      <c r="C2" s="28" t="str">
        <f ca="1">VLOOKUP($B2,Words!$A:$F,4,0)&amp;""</f>
        <v/>
      </c>
      <c r="D2" s="31" t="str">
        <f ca="1">VLOOKUP($B2,Words!$A:$F,3,0)&amp;""</f>
        <v/>
      </c>
      <c r="E2" s="27"/>
      <c r="F2" s="9"/>
      <c r="G2" s="25">
        <f ca="1">VLOOKUP($B2,Words!$A:$F,2,0)</f>
        <v>1</v>
      </c>
      <c r="H2" s="22" t="str">
        <f ca="1">+UPPER(LEFT($B2,1))&amp;LOWER(RIGHT(B2,LEN(B2)-1))</f>
        <v>Boy</v>
      </c>
      <c r="I2" s="22" t="str">
        <f ca="1">IFERROR(UPPER(LEFT($D2,1))&amp;LOWER(RIGHT(D2,LEN(D2)-1)),"")</f>
        <v/>
      </c>
      <c r="J2" s="25" t="str">
        <f ca="1">IF(AND(C2&lt;&gt;"",I2&lt;&gt;""),"+"&amp;C2,IF(TRIM(I2)&lt;&gt;""," +1",""))</f>
        <v/>
      </c>
      <c r="K2" s="11"/>
      <c r="M2" s="29">
        <f ca="1">+INT(RANDBETWEEN(1,COUNTA(Words!$K:$K)))</f>
        <v>42</v>
      </c>
      <c r="N2" s="30" t="str" cm="1">
        <f t="array" aca="1" ref="N2" ca="1">INDEX(Words!$K:$K,M2)</f>
        <v>spider</v>
      </c>
      <c r="O2" s="28" t="str">
        <f ca="1">VLOOKUP($B2,Words!$A:$F,4,0)&amp;""</f>
        <v/>
      </c>
      <c r="P2" s="31" t="str">
        <f ca="1">VLOOKUP($B2,Words!$A:$F,3,0)&amp;""</f>
        <v/>
      </c>
      <c r="Q2" s="27"/>
      <c r="R2" s="9"/>
      <c r="S2" s="25">
        <f ca="1">VLOOKUP($B2,Words!$A:$F,2,0)</f>
        <v>1</v>
      </c>
      <c r="T2" s="22" t="str">
        <f ca="1">+UPPER(LEFT($B2,1))&amp;LOWER(RIGHT(N2,LEN(N2)-1))</f>
        <v>Bpider</v>
      </c>
      <c r="U2" s="22" t="str">
        <f ca="1">IFERROR(UPPER(LEFT($D2,1))&amp;LOWER(RIGHT(P2,LEN(P2)-1)),"")</f>
        <v/>
      </c>
      <c r="V2" s="25" t="str">
        <f ca="1">IF(AND(O2&lt;&gt;"",U2&lt;&gt;""),"+"&amp;O2,IF(TRIM(U2)&lt;&gt;""," +1",""))</f>
        <v/>
      </c>
      <c r="W2" s="11"/>
    </row>
    <row r="3" spans="1:23" ht="30.75">
      <c r="A3" s="29">
        <f ca="1">+INT(RANDBETWEEN(1,COUNTA(Words!$M:$M)))</f>
        <v>13</v>
      </c>
      <c r="B3" s="30" t="str" cm="1">
        <f t="array" aca="1" ref="B3" ca="1">INDEX(Words!$M:$M,A3)</f>
        <v>monkey</v>
      </c>
      <c r="C3" s="28" t="str">
        <f ca="1">VLOOKUP($B3,Words!$A:$F,4,0)&amp;""</f>
        <v/>
      </c>
      <c r="D3" s="31" t="str">
        <f ca="1">VLOOKUP($B3,Words!$A:$F,3,0)&amp;""</f>
        <v/>
      </c>
      <c r="E3" s="27"/>
      <c r="F3" s="9"/>
      <c r="G3" s="25">
        <f ca="1">VLOOKUP($B3,Words!$A:$F,2,0)</f>
        <v>2</v>
      </c>
      <c r="H3" s="22" t="str">
        <f ca="1">+UPPER(LEFT($B3,1))&amp;LOWER(RIGHT(B3,LEN(B3)-1))</f>
        <v>Monkey</v>
      </c>
      <c r="I3" s="22" t="str">
        <f ca="1">IFERROR(UPPER(LEFT($D3,1))&amp;LOWER(RIGHT(D3,LEN(D3)-1)),"")</f>
        <v/>
      </c>
      <c r="J3" s="25" t="str">
        <f t="shared" ref="J3:J5" ca="1" si="0">IF(AND(C3&lt;&gt;"",I3&lt;&gt;""),"+"&amp;C3,IF(TRIM(I3)&lt;&gt;""," +1",""))</f>
        <v/>
      </c>
      <c r="K3" s="11"/>
      <c r="M3" s="29">
        <f ca="1">+INT(RANDBETWEEN(1,COUNTA(Words!$M:$M)))</f>
        <v>14</v>
      </c>
      <c r="N3" s="30" t="str" cm="1">
        <f t="array" aca="1" ref="N3" ca="1">INDEX(Words!$M:$M,M3)</f>
        <v>orange juice</v>
      </c>
      <c r="O3" s="28" t="str">
        <f ca="1">VLOOKUP($B3,Words!$A:$F,4,0)&amp;""</f>
        <v/>
      </c>
      <c r="P3" s="31" t="str">
        <f ca="1">VLOOKUP($B3,Words!$A:$F,3,0)&amp;""</f>
        <v/>
      </c>
      <c r="Q3" s="27"/>
      <c r="R3" s="9"/>
      <c r="S3" s="25">
        <f ca="1">VLOOKUP($B3,Words!$A:$F,2,0)</f>
        <v>2</v>
      </c>
      <c r="T3" s="22" t="str">
        <f ca="1">+UPPER(LEFT($B3,1))&amp;LOWER(RIGHT(N3,LEN(N3)-1))</f>
        <v>Mrange juice</v>
      </c>
      <c r="U3" s="22" t="str">
        <f ca="1">IFERROR(UPPER(LEFT($D3,1))&amp;LOWER(RIGHT(P3,LEN(P3)-1)),"")</f>
        <v/>
      </c>
      <c r="V3" s="25" t="str">
        <f t="shared" ref="V3:V5" ca="1" si="1">IF(AND(O3&lt;&gt;"",U3&lt;&gt;""),"+"&amp;O3,IF(TRIM(U3)&lt;&gt;""," +1",""))</f>
        <v/>
      </c>
      <c r="W3" s="11"/>
    </row>
    <row r="4" spans="1:23" ht="30.75">
      <c r="A4" s="29">
        <f ca="1">+INT(RANDBETWEEN(1,COUNTA(Words!$O:$O)))</f>
        <v>8</v>
      </c>
      <c r="B4" s="30" t="str" cm="1">
        <f t="array" aca="1" ref="B4" ca="1">INDEX(Words!$O:$O,A4)</f>
        <v>easter rabbit</v>
      </c>
      <c r="C4" s="28" t="str">
        <f ca="1">VLOOKUP($B4,Words!$A:$F,4,0)&amp;""</f>
        <v/>
      </c>
      <c r="D4" s="31" t="str">
        <f ca="1">VLOOKUP($B4,Words!$A:$F,3,0)&amp;""</f>
        <v/>
      </c>
      <c r="E4" s="27"/>
      <c r="F4" s="9"/>
      <c r="G4" s="25">
        <f ca="1">VLOOKUP($B4,Words!$A:$F,2,0)</f>
        <v>3</v>
      </c>
      <c r="H4" s="22" t="str">
        <f ca="1">+UPPER(LEFT($B4,1))&amp;LOWER(RIGHT(B4,LEN(B4)-1))</f>
        <v>Easter rabbit</v>
      </c>
      <c r="I4" s="22" t="str">
        <f ca="1">IFERROR(UPPER(LEFT($D4,1))&amp;LOWER(RIGHT(D4,LEN(D4)-1)),"")</f>
        <v/>
      </c>
      <c r="J4" s="25" t="str">
        <f t="shared" ca="1" si="0"/>
        <v/>
      </c>
      <c r="K4" s="11"/>
      <c r="M4" s="29">
        <f ca="1">+INT(RANDBETWEEN(1,COUNTA(Words!$O:$O)))</f>
        <v>9</v>
      </c>
      <c r="N4" s="30" t="str" cm="1">
        <f t="array" aca="1" ref="N4" ca="1">INDEX(Words!$O:$O,M4)</f>
        <v>hedgehog</v>
      </c>
      <c r="O4" s="28" t="str">
        <f ca="1">VLOOKUP($B4,Words!$A:$F,4,0)&amp;""</f>
        <v/>
      </c>
      <c r="P4" s="31" t="str">
        <f ca="1">VLOOKUP($B4,Words!$A:$F,3,0)&amp;""</f>
        <v/>
      </c>
      <c r="Q4" s="27"/>
      <c r="R4" s="9"/>
      <c r="S4" s="25">
        <f ca="1">VLOOKUP($B4,Words!$A:$F,2,0)</f>
        <v>3</v>
      </c>
      <c r="T4" s="22" t="str">
        <f ca="1">+UPPER(LEFT($B4,1))&amp;LOWER(RIGHT(N4,LEN(N4)-1))</f>
        <v>Eedgehog</v>
      </c>
      <c r="U4" s="22" t="str">
        <f ca="1">IFERROR(UPPER(LEFT($D4,1))&amp;LOWER(RIGHT(P4,LEN(P4)-1)),"")</f>
        <v/>
      </c>
      <c r="V4" s="25" t="str">
        <f t="shared" ca="1" si="1"/>
        <v/>
      </c>
      <c r="W4" s="11"/>
    </row>
    <row r="5" spans="1:23" ht="30.75">
      <c r="A5" s="32">
        <f ca="1">+INT(RANDBETWEEN(1,COUNTA(Words!$Q:$Q)))</f>
        <v>2</v>
      </c>
      <c r="B5" s="33" t="str" cm="1">
        <f t="array" aca="1" ref="B5" ca="1">INDEX(Words!$Q:$Q,A5)</f>
        <v>backpack</v>
      </c>
      <c r="C5" s="34" t="str">
        <f ca="1">VLOOKUP($B5,Words!$A:$F,4,0)&amp;""</f>
        <v/>
      </c>
      <c r="D5" s="35" t="str">
        <f ca="1">VLOOKUP($B5,Words!$A:$F,3,0)&amp;""</f>
        <v/>
      </c>
      <c r="E5" s="27"/>
      <c r="F5" s="9"/>
      <c r="G5" s="25">
        <f ca="1">VLOOKUP($B5,Words!$A:$F,2,0)</f>
        <v>4</v>
      </c>
      <c r="H5" s="22" t="str">
        <f ca="1">+UPPER(LEFT($B5,1))&amp;LOWER(RIGHT(B5,LEN(B5)-1))</f>
        <v>Backpack</v>
      </c>
      <c r="I5" s="22" t="str">
        <f ca="1">IFERROR(UPPER(LEFT($D5,1))&amp;LOWER(RIGHT(D5,LEN(D5)-1)),"")</f>
        <v/>
      </c>
      <c r="J5" s="25" t="str">
        <f t="shared" ca="1" si="0"/>
        <v/>
      </c>
      <c r="K5" s="11"/>
      <c r="M5" s="32">
        <f ca="1">+INT(RANDBETWEEN(1,COUNTA(Words!$Q:$Q)))</f>
        <v>3</v>
      </c>
      <c r="N5" s="33" t="str" cm="1">
        <f t="array" aca="1" ref="N5" ca="1">INDEX(Words!$Q:$Q,M5)</f>
        <v>bouncy ball</v>
      </c>
      <c r="O5" s="34" t="str">
        <f ca="1">VLOOKUP($B5,Words!$A:$F,4,0)&amp;""</f>
        <v/>
      </c>
      <c r="P5" s="35" t="str">
        <f ca="1">VLOOKUP($B5,Words!$A:$F,3,0)&amp;""</f>
        <v/>
      </c>
      <c r="Q5" s="27"/>
      <c r="R5" s="9"/>
      <c r="S5" s="25">
        <f ca="1">VLOOKUP($B5,Words!$A:$F,2,0)</f>
        <v>4</v>
      </c>
      <c r="T5" s="22" t="str">
        <f ca="1">+UPPER(LEFT($B5,1))&amp;LOWER(RIGHT(N5,LEN(N5)-1))</f>
        <v>Bouncy ball</v>
      </c>
      <c r="U5" s="22" t="str">
        <f ca="1">IFERROR(UPPER(LEFT($D5,1))&amp;LOWER(RIGHT(P5,LEN(P5)-1)),"")</f>
        <v/>
      </c>
      <c r="V5" s="25" t="str">
        <f t="shared" ca="1" si="1"/>
        <v/>
      </c>
      <c r="W5" s="11"/>
    </row>
    <row r="6" spans="1:23" ht="33.75" thickBot="1">
      <c r="A6" s="26"/>
      <c r="B6" s="26"/>
      <c r="C6" s="26"/>
      <c r="D6" s="26"/>
      <c r="E6" s="26"/>
      <c r="F6" s="12"/>
      <c r="G6" s="23"/>
      <c r="H6" s="24"/>
      <c r="I6" s="24"/>
      <c r="J6" s="24"/>
      <c r="K6" s="13"/>
      <c r="M6" s="26"/>
      <c r="N6" s="26"/>
      <c r="O6" s="26"/>
      <c r="P6" s="26"/>
      <c r="Q6" s="26"/>
      <c r="R6" s="12"/>
      <c r="S6" s="23"/>
      <c r="T6" s="24"/>
      <c r="U6" s="24"/>
      <c r="V6" s="24"/>
      <c r="W6" s="13"/>
    </row>
    <row r="7" spans="1:23" ht="15.75" thickBot="1"/>
    <row r="8" spans="1:23" ht="35.25">
      <c r="A8" s="36" t="s">
        <v>256</v>
      </c>
      <c r="B8" s="37" t="s">
        <v>257</v>
      </c>
      <c r="C8" s="37" t="s">
        <v>258</v>
      </c>
      <c r="D8" s="38" t="s">
        <v>259</v>
      </c>
      <c r="E8" s="26"/>
      <c r="F8" s="6"/>
      <c r="G8" s="17"/>
      <c r="H8" s="7"/>
      <c r="I8" s="21" t="s">
        <v>132</v>
      </c>
      <c r="J8" s="7"/>
      <c r="K8" s="8"/>
      <c r="M8" s="36" t="s">
        <v>256</v>
      </c>
      <c r="N8" s="37" t="s">
        <v>257</v>
      </c>
      <c r="O8" s="37" t="s">
        <v>258</v>
      </c>
      <c r="P8" s="38" t="s">
        <v>259</v>
      </c>
      <c r="Q8" s="26"/>
      <c r="R8" s="6"/>
      <c r="S8" s="17"/>
      <c r="T8" s="7"/>
      <c r="U8" s="21" t="s">
        <v>132</v>
      </c>
      <c r="V8" s="7"/>
      <c r="W8" s="8"/>
    </row>
    <row r="9" spans="1:23" ht="30.75">
      <c r="A9" s="29">
        <f ca="1">+INT(RANDBETWEEN(1,COUNTA(Words!$K:$K)))</f>
        <v>4</v>
      </c>
      <c r="B9" s="30" t="str" cm="1">
        <f t="array" aca="1" ref="B9" ca="1">INDEX(Words!$K:$K,A9)</f>
        <v>ball</v>
      </c>
      <c r="C9" s="28" t="str">
        <f ca="1">VLOOKUP($B9,Words!$A:$F,4,0)&amp;""</f>
        <v/>
      </c>
      <c r="D9" s="31" t="str">
        <f ca="1">VLOOKUP($B9,Words!$A:$F,3,0)&amp;""</f>
        <v/>
      </c>
      <c r="E9" s="27"/>
      <c r="F9" s="9"/>
      <c r="G9" s="39">
        <f ca="1">VLOOKUP(B9,Words!$A:$F,2,0)</f>
        <v>1</v>
      </c>
      <c r="H9" s="22" t="str">
        <f ca="1">+UPPER(LEFT(B9,1))&amp;LOWER(RIGHT(B9,LEN(B9)-1))</f>
        <v>Ball</v>
      </c>
      <c r="I9" s="22" t="str">
        <f ca="1">IFERROR(UPPER(LEFT(D9,1))&amp;LOWER(RIGHT(D9,LEN(D9)-1)),"")</f>
        <v/>
      </c>
      <c r="J9" s="25" t="str">
        <f ca="1">IF(AND(C9&lt;&gt;"",I9&lt;&gt;""),"+"&amp;C9,IF(TRIM(I9)&lt;&gt;""," +1",""))</f>
        <v/>
      </c>
      <c r="K9" s="11"/>
      <c r="M9" s="29">
        <f ca="1">+INT(RANDBETWEEN(1,COUNTA(Words!$K:$K)))</f>
        <v>25</v>
      </c>
      <c r="N9" s="30" t="str" cm="1">
        <f t="array" aca="1" ref="N9" ca="1">INDEX(Words!$K:$K,M9)</f>
        <v>hat</v>
      </c>
      <c r="O9" s="28" t="str">
        <f ca="1">VLOOKUP($B9,Words!$A:$F,4,0)&amp;""</f>
        <v/>
      </c>
      <c r="P9" s="31" t="str">
        <f ca="1">VLOOKUP($B9,Words!$A:$F,3,0)&amp;""</f>
        <v/>
      </c>
      <c r="Q9" s="27"/>
      <c r="R9" s="9"/>
      <c r="S9" s="39">
        <f ca="1">VLOOKUP(N9,Words!$A:$F,2,0)</f>
        <v>1</v>
      </c>
      <c r="T9" s="22" t="str">
        <f ca="1">+UPPER(LEFT(N9,1))&amp;LOWER(RIGHT(N9,LEN(N9)-1))</f>
        <v>Hat</v>
      </c>
      <c r="U9" s="22" t="str">
        <f ca="1">IFERROR(UPPER(LEFT(P9,1))&amp;LOWER(RIGHT(P9,LEN(P9)-1)),"")</f>
        <v/>
      </c>
      <c r="V9" s="25" t="str">
        <f ca="1">IF(AND(O9&lt;&gt;"",U9&lt;&gt;""),"+"&amp;O9,IF(TRIM(U9)&lt;&gt;""," +1",""))</f>
        <v/>
      </c>
      <c r="W9" s="11"/>
    </row>
    <row r="10" spans="1:23" ht="30.75">
      <c r="A10" s="29">
        <f ca="1">+INT(RANDBETWEEN(1,COUNTA(Words!$M:$M)))</f>
        <v>16</v>
      </c>
      <c r="B10" s="30" t="str" cm="1">
        <f t="array" aca="1" ref="B10" ca="1">INDEX(Words!$M:$M,A10)</f>
        <v>pear</v>
      </c>
      <c r="C10" s="28" t="str">
        <f ca="1">VLOOKUP($B10,Words!$A:$F,4,0)&amp;""</f>
        <v/>
      </c>
      <c r="D10" s="31" t="str">
        <f ca="1">VLOOKUP($B10,Words!$A:$F,3,0)&amp;""</f>
        <v/>
      </c>
      <c r="E10" s="27"/>
      <c r="F10" s="9"/>
      <c r="G10" s="39">
        <f ca="1">VLOOKUP(B10,Words!$A:$F,2,0)</f>
        <v>2</v>
      </c>
      <c r="H10" s="22" t="str">
        <f t="shared" ref="H10:H12" ca="1" si="2">+UPPER(LEFT(B10,1))&amp;LOWER(RIGHT(B10,LEN(B10)-1))</f>
        <v>Pear</v>
      </c>
      <c r="I10" s="22" t="str">
        <f ca="1">IFERROR(UPPER(LEFT(D10,1))&amp;LOWER(RIGHT(D10,LEN(D10)-1)),"")</f>
        <v/>
      </c>
      <c r="J10" s="25" t="str">
        <f t="shared" ref="J10:J12" ca="1" si="3">IF(AND(C10&lt;&gt;"",I10&lt;&gt;""),"+"&amp;C10,IF(TRIM(I10)&lt;&gt;""," +1",""))</f>
        <v/>
      </c>
      <c r="K10" s="11"/>
      <c r="M10" s="29">
        <f ca="1">+INT(RANDBETWEEN(1,COUNTA(Words!$M:$M)))</f>
        <v>10</v>
      </c>
      <c r="N10" s="30" t="str" cm="1">
        <f t="array" aca="1" ref="N10" ca="1">INDEX(Words!$M:$M,M10)</f>
        <v>fox</v>
      </c>
      <c r="O10" s="28" t="str">
        <f ca="1">VLOOKUP($B10,Words!$A:$F,4,0)&amp;""</f>
        <v/>
      </c>
      <c r="P10" s="31" t="str">
        <f ca="1">VLOOKUP($B10,Words!$A:$F,3,0)&amp;""</f>
        <v/>
      </c>
      <c r="Q10" s="27"/>
      <c r="R10" s="9"/>
      <c r="S10" s="39">
        <f ca="1">VLOOKUP(N10,Words!$A:$F,2,0)</f>
        <v>2</v>
      </c>
      <c r="T10" s="22" t="str">
        <f t="shared" ref="T10:T12" ca="1" si="4">+UPPER(LEFT(N10,1))&amp;LOWER(RIGHT(N10,LEN(N10)-1))</f>
        <v>Fox</v>
      </c>
      <c r="U10" s="22" t="str">
        <f t="shared" ref="U10:U12" ca="1" si="5">IFERROR(UPPER(LEFT(P10,1))&amp;LOWER(RIGHT(P10,LEN(P10)-1)),"")</f>
        <v/>
      </c>
      <c r="V10" s="25" t="str">
        <f t="shared" ref="V10:V12" ca="1" si="6">IF(AND(O10&lt;&gt;"",U10&lt;&gt;""),"+"&amp;O10,IF(TRIM(U10)&lt;&gt;""," +1",""))</f>
        <v/>
      </c>
      <c r="W10" s="11"/>
    </row>
    <row r="11" spans="1:23" ht="30.75">
      <c r="A11" s="29">
        <f ca="1">+INT(RANDBETWEEN(1,COUNTA(Words!$O:$O)))</f>
        <v>10</v>
      </c>
      <c r="B11" s="30" t="str" cm="1">
        <f t="array" aca="1" ref="B11" ca="1">INDEX(Words!$O:$O,A11)</f>
        <v>mouse</v>
      </c>
      <c r="C11" s="28" t="str">
        <f ca="1">VLOOKUP($B11,Words!$A:$F,4,0)&amp;""</f>
        <v/>
      </c>
      <c r="D11" s="31" t="str">
        <f ca="1">VLOOKUP($B11,Words!$A:$F,3,0)&amp;""</f>
        <v/>
      </c>
      <c r="E11" s="27"/>
      <c r="F11" s="9"/>
      <c r="G11" s="39">
        <f ca="1">VLOOKUP(B11,Words!$A:$F,2,0)</f>
        <v>3</v>
      </c>
      <c r="H11" s="22" t="str">
        <f t="shared" ca="1" si="2"/>
        <v>Mouse</v>
      </c>
      <c r="I11" s="22" t="str">
        <f ca="1">IFERROR(UPPER(LEFT(D11,1))&amp;LOWER(RIGHT(D11,LEN(D11)-1)),"")</f>
        <v/>
      </c>
      <c r="J11" s="25" t="str">
        <f t="shared" ca="1" si="3"/>
        <v/>
      </c>
      <c r="K11" s="11"/>
      <c r="M11" s="29">
        <f ca="1">+INT(RANDBETWEEN(1,COUNTA(Words!$O:$O)))</f>
        <v>8</v>
      </c>
      <c r="N11" s="30" t="str" cm="1">
        <f t="array" aca="1" ref="N11" ca="1">INDEX(Words!$O:$O,M11)</f>
        <v>easter rabbit</v>
      </c>
      <c r="O11" s="28" t="str">
        <f ca="1">VLOOKUP($B11,Words!$A:$F,4,0)&amp;""</f>
        <v/>
      </c>
      <c r="P11" s="31" t="str">
        <f ca="1">VLOOKUP($B11,Words!$A:$F,3,0)&amp;""</f>
        <v/>
      </c>
      <c r="Q11" s="27"/>
      <c r="R11" s="9"/>
      <c r="S11" s="39">
        <f ca="1">VLOOKUP(N11,Words!$A:$F,2,0)</f>
        <v>3</v>
      </c>
      <c r="T11" s="22" t="str">
        <f t="shared" ca="1" si="4"/>
        <v>Easter rabbit</v>
      </c>
      <c r="U11" s="22" t="str">
        <f t="shared" ca="1" si="5"/>
        <v/>
      </c>
      <c r="V11" s="25" t="str">
        <f t="shared" ca="1" si="6"/>
        <v/>
      </c>
      <c r="W11" s="11"/>
    </row>
    <row r="12" spans="1:23" ht="30.75">
      <c r="A12" s="32">
        <f ca="1">+INT(RANDBETWEEN(1,COUNTA(Words!$Q:$Q)))</f>
        <v>6</v>
      </c>
      <c r="B12" s="33" t="str" cm="1">
        <f t="array" aca="1" ref="B12" ca="1">INDEX(Words!$Q:$Q,A12)</f>
        <v>solar system</v>
      </c>
      <c r="C12" s="34" t="str">
        <f ca="1">VLOOKUP($B12,Words!$A:$F,4,0)&amp;""</f>
        <v/>
      </c>
      <c r="D12" s="35" t="str">
        <f ca="1">VLOOKUP($B12,Words!$A:$F,3,0)&amp;""</f>
        <v/>
      </c>
      <c r="E12" s="27"/>
      <c r="F12" s="9"/>
      <c r="G12" s="39">
        <f ca="1">VLOOKUP(B12,Words!$A:$F,2,0)</f>
        <v>4</v>
      </c>
      <c r="H12" s="22" t="str">
        <f t="shared" ca="1" si="2"/>
        <v>Solar system</v>
      </c>
      <c r="I12" s="22" t="str">
        <f ca="1">IFERROR(UPPER(LEFT(D12,1))&amp;LOWER(RIGHT(D12,LEN(D12)-1)),"")</f>
        <v/>
      </c>
      <c r="J12" s="25" t="str">
        <f t="shared" ca="1" si="3"/>
        <v/>
      </c>
      <c r="K12" s="11"/>
      <c r="M12" s="32">
        <f ca="1">+INT(RANDBETWEEN(1,COUNTA(Words!$Q:$Q)))</f>
        <v>6</v>
      </c>
      <c r="N12" s="33" t="str" cm="1">
        <f t="array" aca="1" ref="N12" ca="1">INDEX(Words!$Q:$Q,M12)</f>
        <v>solar system</v>
      </c>
      <c r="O12" s="34" t="str">
        <f ca="1">VLOOKUP($B12,Words!$A:$F,4,0)&amp;""</f>
        <v/>
      </c>
      <c r="P12" s="35" t="str">
        <f ca="1">VLOOKUP($B12,Words!$A:$F,3,0)&amp;""</f>
        <v/>
      </c>
      <c r="Q12" s="27"/>
      <c r="R12" s="9"/>
      <c r="S12" s="39">
        <f ca="1">VLOOKUP(N12,Words!$A:$F,2,0)</f>
        <v>4</v>
      </c>
      <c r="T12" s="22" t="str">
        <f t="shared" ca="1" si="4"/>
        <v>Solar system</v>
      </c>
      <c r="U12" s="22" t="str">
        <f t="shared" ca="1" si="5"/>
        <v/>
      </c>
      <c r="V12" s="25" t="str">
        <f t="shared" ca="1" si="6"/>
        <v/>
      </c>
      <c r="W12" s="11"/>
    </row>
    <row r="13" spans="1:23" ht="33.75" thickBot="1">
      <c r="A13" s="26"/>
      <c r="B13" s="26"/>
      <c r="C13" s="26"/>
      <c r="D13" s="26"/>
      <c r="E13" s="26"/>
      <c r="F13" s="12"/>
      <c r="G13" s="23"/>
      <c r="H13" s="24"/>
      <c r="I13" s="24"/>
      <c r="J13" s="24"/>
      <c r="K13" s="13"/>
      <c r="M13" s="26"/>
      <c r="N13" s="26"/>
      <c r="O13" s="26"/>
      <c r="P13" s="26"/>
      <c r="Q13" s="26"/>
      <c r="R13" s="12"/>
      <c r="S13" s="23"/>
      <c r="T13" s="24"/>
      <c r="U13" s="24"/>
      <c r="V13" s="24"/>
      <c r="W13" s="13"/>
    </row>
    <row r="15" spans="1:23" ht="15.75" thickBot="1"/>
    <row r="16" spans="1:23" ht="35.25">
      <c r="A16" s="36" t="s">
        <v>256</v>
      </c>
      <c r="B16" s="37" t="s">
        <v>257</v>
      </c>
      <c r="C16" s="37" t="s">
        <v>258</v>
      </c>
      <c r="D16" s="38" t="s">
        <v>259</v>
      </c>
      <c r="E16" s="26"/>
      <c r="F16" s="6"/>
      <c r="G16" s="17"/>
      <c r="H16" s="7"/>
      <c r="I16" s="21" t="s">
        <v>132</v>
      </c>
      <c r="J16" s="7"/>
      <c r="K16" s="8"/>
      <c r="M16" s="36" t="s">
        <v>256</v>
      </c>
      <c r="N16" s="37" t="s">
        <v>257</v>
      </c>
      <c r="O16" s="37" t="s">
        <v>258</v>
      </c>
      <c r="P16" s="38" t="s">
        <v>259</v>
      </c>
      <c r="Q16" s="26"/>
      <c r="R16" s="6"/>
      <c r="S16" s="17"/>
      <c r="T16" s="7"/>
      <c r="U16" s="21" t="s">
        <v>132</v>
      </c>
      <c r="V16" s="7"/>
      <c r="W16" s="8"/>
    </row>
    <row r="17" spans="1:23" ht="30.75">
      <c r="A17" s="29">
        <f ca="1">+INT(RANDBETWEEN(1,COUNTA(Words!$K:$K)))</f>
        <v>48</v>
      </c>
      <c r="B17" s="30" t="str" cm="1">
        <f t="array" aca="1" ref="B17" ca="1">INDEX(Words!$K:$K,A17)</f>
        <v>tree</v>
      </c>
      <c r="C17" s="28" t="str">
        <f ca="1">VLOOKUP($B17,Words!$A:$F,4,0)&amp;""</f>
        <v/>
      </c>
      <c r="D17" s="31" t="str">
        <f ca="1">VLOOKUP($B17,Words!$A:$F,3,0)&amp;""</f>
        <v>stickman house</v>
      </c>
      <c r="E17" s="27"/>
      <c r="F17" s="9"/>
      <c r="G17" s="39">
        <f ca="1">VLOOKUP(B17,Words!$A:$F,2,0)</f>
        <v>1</v>
      </c>
      <c r="H17" s="22" t="str">
        <f ca="1">+UPPER(LEFT(B17,1))&amp;LOWER(RIGHT(B17,LEN(B17)-1))</f>
        <v>Tree</v>
      </c>
      <c r="I17" s="22" t="str">
        <f ca="1">IFERROR(UPPER(LEFT(D17,1))&amp;LOWER(RIGHT(D17,LEN(D17)-1)),"")</f>
        <v>Stickman house</v>
      </c>
      <c r="J17" s="25" t="str">
        <f ca="1">IF(AND(C17&lt;&gt;"",I17&lt;&gt;""),"+"&amp;C17,IF(TRIM(I17)&lt;&gt;""," +1",""))</f>
        <v xml:space="preserve"> +1</v>
      </c>
      <c r="K17" s="11"/>
      <c r="M17" s="29">
        <f ca="1">+INT(RANDBETWEEN(1,COUNTA(Words!$K:$K)))</f>
        <v>29</v>
      </c>
      <c r="N17" s="30" t="str" cm="1">
        <f t="array" aca="1" ref="N17" ca="1">INDEX(Words!$K:$K,M17)</f>
        <v>pig</v>
      </c>
      <c r="O17" s="28" t="str">
        <f ca="1">VLOOKUP($B17,Words!$A:$F,4,0)&amp;""</f>
        <v/>
      </c>
      <c r="P17" s="31" t="str">
        <f ca="1">VLOOKUP($B17,Words!$A:$F,3,0)&amp;""</f>
        <v>stickman house</v>
      </c>
      <c r="Q17" s="27"/>
      <c r="R17" s="9"/>
      <c r="S17" s="39">
        <f ca="1">VLOOKUP(N17,Words!$A:$F,2,0)</f>
        <v>1</v>
      </c>
      <c r="T17" s="22" t="str">
        <f ca="1">+UPPER(LEFT(N17,1))&amp;LOWER(RIGHT(N17,LEN(N17)-1))</f>
        <v>Pig</v>
      </c>
      <c r="U17" s="22" t="str">
        <f ca="1">IFERROR(UPPER(LEFT(P17,1))&amp;LOWER(RIGHT(P17,LEN(P17)-1)),"")</f>
        <v>Stickman house</v>
      </c>
      <c r="V17" s="25" t="str">
        <f ca="1">IF(AND(O17&lt;&gt;"",U17&lt;&gt;""),"+"&amp;O17,IF(TRIM(U17)&lt;&gt;""," +1",""))</f>
        <v xml:space="preserve"> +1</v>
      </c>
      <c r="W17" s="11"/>
    </row>
    <row r="18" spans="1:23" ht="30.75">
      <c r="A18" s="29">
        <f ca="1">+INT(RANDBETWEEN(1,COUNTA(Words!$M:$M)))</f>
        <v>17</v>
      </c>
      <c r="B18" s="30" t="str" cm="1">
        <f t="array" aca="1" ref="B18" ca="1">INDEX(Words!$M:$M,A18)</f>
        <v>penguin</v>
      </c>
      <c r="C18" s="28" t="str">
        <f ca="1">VLOOKUP($B18,Words!$A:$F,4,0)&amp;""</f>
        <v/>
      </c>
      <c r="D18" s="31" t="str">
        <f ca="1">VLOOKUP($B18,Words!$A:$F,3,0)&amp;""</f>
        <v/>
      </c>
      <c r="E18" s="27"/>
      <c r="F18" s="9"/>
      <c r="G18" s="39">
        <f ca="1">VLOOKUP(B18,Words!$A:$F,2,0)</f>
        <v>2</v>
      </c>
      <c r="H18" s="22" t="str">
        <f t="shared" ref="H18:H20" ca="1" si="7">+UPPER(LEFT(B18,1))&amp;LOWER(RIGHT(B18,LEN(B18)-1))</f>
        <v>Penguin</v>
      </c>
      <c r="I18" s="22" t="str">
        <f t="shared" ref="I18:I20" ca="1" si="8">IFERROR(UPPER(LEFT(D18,1))&amp;LOWER(RIGHT(D18,LEN(D18)-1)),"")</f>
        <v/>
      </c>
      <c r="J18" s="25" t="str">
        <f t="shared" ref="J18:J20" ca="1" si="9">IF(AND(C18&lt;&gt;"",I18&lt;&gt;""),"+"&amp;C18,IF(TRIM(I18)&lt;&gt;""," +1",""))</f>
        <v/>
      </c>
      <c r="K18" s="11"/>
      <c r="M18" s="29">
        <f ca="1">+INT(RANDBETWEEN(1,COUNTA(Words!$M:$M)))</f>
        <v>13</v>
      </c>
      <c r="N18" s="30" t="str" cm="1">
        <f t="array" aca="1" ref="N18" ca="1">INDEX(Words!$M:$M,M18)</f>
        <v>monkey</v>
      </c>
      <c r="O18" s="28" t="str">
        <f ca="1">VLOOKUP($B18,Words!$A:$F,4,0)&amp;""</f>
        <v/>
      </c>
      <c r="P18" s="31" t="str">
        <f ca="1">VLOOKUP($B18,Words!$A:$F,3,0)&amp;""</f>
        <v/>
      </c>
      <c r="Q18" s="27"/>
      <c r="R18" s="9"/>
      <c r="S18" s="39">
        <f ca="1">VLOOKUP(N18,Words!$A:$F,2,0)</f>
        <v>2</v>
      </c>
      <c r="T18" s="22" t="str">
        <f t="shared" ref="T18:T20" ca="1" si="10">+UPPER(LEFT(N18,1))&amp;LOWER(RIGHT(N18,LEN(N18)-1))</f>
        <v>Monkey</v>
      </c>
      <c r="U18" s="22" t="str">
        <f t="shared" ref="U18:U20" ca="1" si="11">IFERROR(UPPER(LEFT(P18,1))&amp;LOWER(RIGHT(P18,LEN(P18)-1)),"")</f>
        <v/>
      </c>
      <c r="V18" s="25" t="str">
        <f t="shared" ref="V18:V20" ca="1" si="12">IF(AND(O18&lt;&gt;"",U18&lt;&gt;""),"+"&amp;O18,IF(TRIM(U18)&lt;&gt;""," +1",""))</f>
        <v/>
      </c>
      <c r="W18" s="11"/>
    </row>
    <row r="19" spans="1:23" ht="30.75">
      <c r="A19" s="29">
        <f ca="1">+INT(RANDBETWEEN(1,COUNTA(Words!$O:$O)))</f>
        <v>3</v>
      </c>
      <c r="B19" s="30" t="str" cm="1">
        <f t="array" aca="1" ref="B19" ca="1">INDEX(Words!$O:$O,A19)</f>
        <v>mermaid</v>
      </c>
      <c r="C19" s="28" t="str">
        <f ca="1">VLOOKUP($B19,Words!$A:$F,4,0)&amp;""</f>
        <v/>
      </c>
      <c r="D19" s="31" t="str">
        <f ca="1">VLOOKUP($B19,Words!$A:$F,3,0)&amp;""</f>
        <v/>
      </c>
      <c r="E19" s="27"/>
      <c r="F19" s="9"/>
      <c r="G19" s="39">
        <f ca="1">VLOOKUP(B19,Words!$A:$F,2,0)</f>
        <v>3</v>
      </c>
      <c r="H19" s="22" t="str">
        <f t="shared" ca="1" si="7"/>
        <v>Mermaid</v>
      </c>
      <c r="I19" s="22" t="str">
        <f t="shared" ca="1" si="8"/>
        <v/>
      </c>
      <c r="J19" s="25" t="str">
        <f t="shared" ca="1" si="9"/>
        <v/>
      </c>
      <c r="K19" s="11"/>
      <c r="M19" s="29">
        <f ca="1">+INT(RANDBETWEEN(1,COUNTA(Words!$O:$O)))</f>
        <v>1</v>
      </c>
      <c r="N19" s="30" t="str" cm="1">
        <f t="array" aca="1" ref="N19" ca="1">INDEX(Words!$O:$O,M19)</f>
        <v>see-saw</v>
      </c>
      <c r="O19" s="28" t="str">
        <f ca="1">VLOOKUP($B19,Words!$A:$F,4,0)&amp;""</f>
        <v/>
      </c>
      <c r="P19" s="31" t="str">
        <f ca="1">VLOOKUP($B19,Words!$A:$F,3,0)&amp;""</f>
        <v/>
      </c>
      <c r="Q19" s="27"/>
      <c r="R19" s="9"/>
      <c r="S19" s="39">
        <f ca="1">VLOOKUP(N19,Words!$A:$F,2,0)</f>
        <v>3</v>
      </c>
      <c r="T19" s="22" t="str">
        <f t="shared" ca="1" si="10"/>
        <v>See-saw</v>
      </c>
      <c r="U19" s="22" t="str">
        <f t="shared" ca="1" si="11"/>
        <v/>
      </c>
      <c r="V19" s="25" t="str">
        <f t="shared" ca="1" si="12"/>
        <v/>
      </c>
      <c r="W19" s="11"/>
    </row>
    <row r="20" spans="1:23" ht="30.75">
      <c r="A20" s="32">
        <f ca="1">+INT(RANDBETWEEN(1,COUNTA(Words!$Q:$Q)))</f>
        <v>8</v>
      </c>
      <c r="B20" s="33" t="str" cm="1">
        <f t="array" aca="1" ref="B20" ca="1">INDEX(Words!$Q:$Q,A20)</f>
        <v>summer</v>
      </c>
      <c r="C20" s="34" t="str">
        <f ca="1">VLOOKUP($B20,Words!$A:$F,4,0)&amp;""</f>
        <v/>
      </c>
      <c r="D20" s="35" t="str">
        <f ca="1">VLOOKUP($B20,Words!$A:$F,3,0)&amp;""</f>
        <v/>
      </c>
      <c r="E20" s="27"/>
      <c r="F20" s="9"/>
      <c r="G20" s="39">
        <f ca="1">VLOOKUP(B20,Words!$A:$F,2,0)</f>
        <v>4</v>
      </c>
      <c r="H20" s="22" t="str">
        <f t="shared" ca="1" si="7"/>
        <v>Summer</v>
      </c>
      <c r="I20" s="22" t="str">
        <f t="shared" ca="1" si="8"/>
        <v/>
      </c>
      <c r="J20" s="25" t="str">
        <f t="shared" ca="1" si="9"/>
        <v/>
      </c>
      <c r="K20" s="11"/>
      <c r="M20" s="32">
        <f ca="1">+INT(RANDBETWEEN(1,COUNTA(Words!$Q:$Q)))</f>
        <v>7</v>
      </c>
      <c r="N20" s="33" t="str" cm="1">
        <f t="array" aca="1" ref="N20" ca="1">INDEX(Words!$Q:$Q,M20)</f>
        <v>spring</v>
      </c>
      <c r="O20" s="34" t="str">
        <f ca="1">VLOOKUP($B20,Words!$A:$F,4,0)&amp;""</f>
        <v/>
      </c>
      <c r="P20" s="35" t="str">
        <f ca="1">VLOOKUP($B20,Words!$A:$F,3,0)&amp;""</f>
        <v/>
      </c>
      <c r="Q20" s="27"/>
      <c r="R20" s="9"/>
      <c r="S20" s="39">
        <f ca="1">VLOOKUP(N20,Words!$A:$F,2,0)</f>
        <v>4</v>
      </c>
      <c r="T20" s="22" t="str">
        <f t="shared" ca="1" si="10"/>
        <v>Spring</v>
      </c>
      <c r="U20" s="22" t="str">
        <f t="shared" ca="1" si="11"/>
        <v/>
      </c>
      <c r="V20" s="25" t="str">
        <f t="shared" ca="1" si="12"/>
        <v/>
      </c>
      <c r="W20" s="11"/>
    </row>
    <row r="21" spans="1:23" ht="33.75" thickBot="1">
      <c r="A21" s="26"/>
      <c r="B21" s="26"/>
      <c r="C21" s="26"/>
      <c r="D21" s="26"/>
      <c r="E21" s="26"/>
      <c r="F21" s="12"/>
      <c r="G21" s="23"/>
      <c r="H21" s="24"/>
      <c r="I21" s="24"/>
      <c r="J21" s="24"/>
      <c r="K21" s="13"/>
      <c r="M21" s="26"/>
      <c r="N21" s="26"/>
      <c r="O21" s="26"/>
      <c r="P21" s="26"/>
      <c r="Q21" s="26"/>
      <c r="R21" s="12"/>
      <c r="S21" s="23"/>
      <c r="T21" s="24"/>
      <c r="U21" s="24"/>
      <c r="V21" s="24"/>
      <c r="W21" s="13"/>
    </row>
    <row r="24" spans="1:23" ht="15.75" thickBot="1"/>
    <row r="25" spans="1:23" ht="35.25">
      <c r="A25" s="36" t="s">
        <v>256</v>
      </c>
      <c r="B25" s="37" t="s">
        <v>257</v>
      </c>
      <c r="C25" s="37" t="s">
        <v>258</v>
      </c>
      <c r="D25" s="38" t="s">
        <v>259</v>
      </c>
      <c r="E25" s="26"/>
      <c r="F25" s="6"/>
      <c r="G25" s="17"/>
      <c r="H25" s="7"/>
      <c r="I25" s="21" t="s">
        <v>132</v>
      </c>
      <c r="J25" s="7"/>
      <c r="K25" s="8"/>
      <c r="M25" s="36" t="s">
        <v>256</v>
      </c>
      <c r="N25" s="37" t="s">
        <v>257</v>
      </c>
      <c r="O25" s="37" t="s">
        <v>258</v>
      </c>
      <c r="P25" s="38" t="s">
        <v>259</v>
      </c>
      <c r="Q25" s="26"/>
      <c r="R25" s="6"/>
      <c r="S25" s="17"/>
      <c r="T25" s="7"/>
      <c r="U25" s="21" t="s">
        <v>132</v>
      </c>
      <c r="V25" s="7"/>
      <c r="W25" s="8"/>
    </row>
    <row r="26" spans="1:23" ht="30.75">
      <c r="A26" s="29">
        <f ca="1">+INT(RANDBETWEEN(1,COUNTA(Words!$K:$K)))</f>
        <v>22</v>
      </c>
      <c r="B26" s="30" t="str" cm="1">
        <f t="array" aca="1" ref="B26" ca="1">INDEX(Words!$K:$K,A26)</f>
        <v>fly</v>
      </c>
      <c r="C26" s="28" t="str">
        <f ca="1">VLOOKUP($B26,Words!$A:$F,4,0)&amp;""</f>
        <v/>
      </c>
      <c r="D26" s="31" t="str">
        <f ca="1">VLOOKUP($B26,Words!$A:$F,3,0)&amp;""</f>
        <v/>
      </c>
      <c r="E26" s="27"/>
      <c r="F26" s="9"/>
      <c r="G26" s="39">
        <f ca="1">VLOOKUP(B26,Words!$A:$F,2,0)</f>
        <v>1</v>
      </c>
      <c r="H26" s="22" t="str">
        <f ca="1">+UPPER(LEFT(B26,1))&amp;LOWER(RIGHT(B26,LEN(B26)-1))</f>
        <v>Fly</v>
      </c>
      <c r="I26" s="22" t="str">
        <f ca="1">IFERROR(UPPER(LEFT(D26,1))&amp;LOWER(RIGHT(D26,LEN(D26)-1)),"")</f>
        <v/>
      </c>
      <c r="J26" s="25" t="str">
        <f ca="1">IF(AND(C26&lt;&gt;"",I26&lt;&gt;""),"+"&amp;C26,IF(TRIM(I26)&lt;&gt;""," +1",""))</f>
        <v/>
      </c>
      <c r="K26" s="11"/>
      <c r="M26" s="29">
        <f ca="1">+INT(RANDBETWEEN(1,COUNTA(Words!$K:$K)))</f>
        <v>18</v>
      </c>
      <c r="N26" s="30" t="str" cm="1">
        <f t="array" aca="1" ref="N26" ca="1">INDEX(Words!$K:$K,M26)</f>
        <v>dog</v>
      </c>
      <c r="O26" s="28" t="str">
        <f ca="1">VLOOKUP($B26,Words!$A:$F,4,0)&amp;""</f>
        <v/>
      </c>
      <c r="P26" s="31" t="str">
        <f ca="1">VLOOKUP($B26,Words!$A:$F,3,0)&amp;""</f>
        <v/>
      </c>
      <c r="Q26" s="27"/>
      <c r="R26" s="9"/>
      <c r="S26" s="39">
        <f ca="1">VLOOKUP(N26,Words!$A:$F,2,0)</f>
        <v>1</v>
      </c>
      <c r="T26" s="22" t="str">
        <f ca="1">+UPPER(LEFT(N26,1))&amp;LOWER(RIGHT(N26,LEN(N26)-1))</f>
        <v>Dog</v>
      </c>
      <c r="U26" s="22" t="str">
        <f ca="1">IFERROR(UPPER(LEFT(P26,1))&amp;LOWER(RIGHT(P26,LEN(P26)-1)),"")</f>
        <v/>
      </c>
      <c r="V26" s="25" t="str">
        <f ca="1">IF(AND(O26&lt;&gt;"",U26&lt;&gt;""),"+"&amp;O26,IF(TRIM(U26)&lt;&gt;""," +1",""))</f>
        <v/>
      </c>
      <c r="W26" s="11"/>
    </row>
    <row r="27" spans="1:23" ht="30.75">
      <c r="A27" s="29">
        <f ca="1">+INT(RANDBETWEEN(1,COUNTA(Words!$M:$M)))</f>
        <v>23</v>
      </c>
      <c r="B27" s="30" t="str" cm="1">
        <f t="array" aca="1" ref="B27" ca="1">INDEX(Words!$M:$M,A27)</f>
        <v>worm</v>
      </c>
      <c r="C27" s="28" t="str">
        <f ca="1">VLOOKUP($B27,Words!$A:$F,4,0)&amp;""</f>
        <v/>
      </c>
      <c r="D27" s="31" t="str">
        <f ca="1">VLOOKUP($B27,Words!$A:$F,3,0)&amp;""</f>
        <v>composter</v>
      </c>
      <c r="E27" s="27"/>
      <c r="F27" s="9"/>
      <c r="G27" s="39">
        <f ca="1">VLOOKUP(B27,Words!$A:$F,2,0)</f>
        <v>2</v>
      </c>
      <c r="H27" s="22" t="str">
        <f t="shared" ref="H27:H29" ca="1" si="13">+UPPER(LEFT(B27,1))&amp;LOWER(RIGHT(B27,LEN(B27)-1))</f>
        <v>Worm</v>
      </c>
      <c r="I27" s="22" t="str">
        <f t="shared" ref="I27:I29" ca="1" si="14">IFERROR(UPPER(LEFT(D27,1))&amp;LOWER(RIGHT(D27,LEN(D27)-1)),"")</f>
        <v>Composter</v>
      </c>
      <c r="J27" s="25" t="str">
        <f t="shared" ref="J27:J29" ca="1" si="15">IF(AND(C27&lt;&gt;"",I27&lt;&gt;""),"+"&amp;C27,IF(TRIM(I27)&lt;&gt;""," +1",""))</f>
        <v xml:space="preserve"> +1</v>
      </c>
      <c r="K27" s="11"/>
      <c r="M27" s="29">
        <f ca="1">+INT(RANDBETWEEN(1,COUNTA(Words!$M:$M)))</f>
        <v>8</v>
      </c>
      <c r="N27" s="30" t="str" cm="1">
        <f t="array" aca="1" ref="N27" ca="1">INDEX(Words!$M:$M,M27)</f>
        <v>castle</v>
      </c>
      <c r="O27" s="28" t="str">
        <f ca="1">VLOOKUP($B27,Words!$A:$F,4,0)&amp;""</f>
        <v/>
      </c>
      <c r="P27" s="31" t="str">
        <f ca="1">VLOOKUP($B27,Words!$A:$F,3,0)&amp;""</f>
        <v>composter</v>
      </c>
      <c r="Q27" s="27"/>
      <c r="R27" s="9"/>
      <c r="S27" s="39">
        <f ca="1">VLOOKUP(N27,Words!$A:$F,2,0)</f>
        <v>2</v>
      </c>
      <c r="T27" s="22" t="str">
        <f t="shared" ref="T27:T29" ca="1" si="16">+UPPER(LEFT(N27,1))&amp;LOWER(RIGHT(N27,LEN(N27)-1))</f>
        <v>Castle</v>
      </c>
      <c r="U27" s="22" t="str">
        <f t="shared" ref="U27:U29" ca="1" si="17">IFERROR(UPPER(LEFT(P27,1))&amp;LOWER(RIGHT(P27,LEN(P27)-1)),"")</f>
        <v>Composter</v>
      </c>
      <c r="V27" s="25" t="str">
        <f t="shared" ref="V27:V29" ca="1" si="18">IF(AND(O27&lt;&gt;"",U27&lt;&gt;""),"+"&amp;O27,IF(TRIM(U27)&lt;&gt;""," +1",""))</f>
        <v xml:space="preserve"> +1</v>
      </c>
      <c r="W27" s="11"/>
    </row>
    <row r="28" spans="1:23" ht="30.75">
      <c r="A28" s="29">
        <f ca="1">+INT(RANDBETWEEN(1,COUNTA(Words!$O:$O)))</f>
        <v>8</v>
      </c>
      <c r="B28" s="30" t="str" cm="1">
        <f t="array" aca="1" ref="B28" ca="1">INDEX(Words!$O:$O,A28)</f>
        <v>easter rabbit</v>
      </c>
      <c r="C28" s="28" t="str">
        <f ca="1">VLOOKUP($B28,Words!$A:$F,4,0)&amp;""</f>
        <v/>
      </c>
      <c r="D28" s="31" t="str">
        <f ca="1">VLOOKUP($B28,Words!$A:$F,3,0)&amp;""</f>
        <v/>
      </c>
      <c r="E28" s="27"/>
      <c r="F28" s="9"/>
      <c r="G28" s="39">
        <f ca="1">VLOOKUP(B28,Words!$A:$F,2,0)</f>
        <v>3</v>
      </c>
      <c r="H28" s="22" t="str">
        <f t="shared" ca="1" si="13"/>
        <v>Easter rabbit</v>
      </c>
      <c r="I28" s="22" t="str">
        <f t="shared" ca="1" si="14"/>
        <v/>
      </c>
      <c r="J28" s="25" t="str">
        <f t="shared" ca="1" si="15"/>
        <v/>
      </c>
      <c r="K28" s="11"/>
      <c r="M28" s="29">
        <f ca="1">+INT(RANDBETWEEN(1,COUNTA(Words!$O:$O)))</f>
        <v>3</v>
      </c>
      <c r="N28" s="30" t="str" cm="1">
        <f t="array" aca="1" ref="N28" ca="1">INDEX(Words!$O:$O,M28)</f>
        <v>mermaid</v>
      </c>
      <c r="O28" s="28" t="str">
        <f ca="1">VLOOKUP($B28,Words!$A:$F,4,0)&amp;""</f>
        <v/>
      </c>
      <c r="P28" s="31" t="str">
        <f ca="1">VLOOKUP($B28,Words!$A:$F,3,0)&amp;""</f>
        <v/>
      </c>
      <c r="Q28" s="27"/>
      <c r="R28" s="9"/>
      <c r="S28" s="39">
        <f ca="1">VLOOKUP(N28,Words!$A:$F,2,0)</f>
        <v>3</v>
      </c>
      <c r="T28" s="22" t="str">
        <f t="shared" ca="1" si="16"/>
        <v>Mermaid</v>
      </c>
      <c r="U28" s="22" t="str">
        <f t="shared" ca="1" si="17"/>
        <v/>
      </c>
      <c r="V28" s="25" t="str">
        <f t="shared" ca="1" si="18"/>
        <v/>
      </c>
      <c r="W28" s="11"/>
    </row>
    <row r="29" spans="1:23" ht="30.75">
      <c r="A29" s="32">
        <f ca="1">+INT(RANDBETWEEN(1,COUNTA(Words!$Q:$Q)))</f>
        <v>2</v>
      </c>
      <c r="B29" s="33" t="str" cm="1">
        <f t="array" aca="1" ref="B29" ca="1">INDEX(Words!$Q:$Q,A29)</f>
        <v>backpack</v>
      </c>
      <c r="C29" s="34" t="str">
        <f ca="1">VLOOKUP($B29,Words!$A:$F,4,0)&amp;""</f>
        <v/>
      </c>
      <c r="D29" s="35" t="str">
        <f ca="1">VLOOKUP($B29,Words!$A:$F,3,0)&amp;""</f>
        <v/>
      </c>
      <c r="E29" s="27"/>
      <c r="F29" s="9"/>
      <c r="G29" s="39">
        <f ca="1">VLOOKUP(B29,Words!$A:$F,2,0)</f>
        <v>4</v>
      </c>
      <c r="H29" s="22" t="str">
        <f t="shared" ca="1" si="13"/>
        <v>Backpack</v>
      </c>
      <c r="I29" s="22" t="str">
        <f t="shared" ca="1" si="14"/>
        <v/>
      </c>
      <c r="J29" s="25" t="str">
        <f t="shared" ca="1" si="15"/>
        <v/>
      </c>
      <c r="K29" s="11"/>
      <c r="M29" s="32">
        <f ca="1">+INT(RANDBETWEEN(1,COUNTA(Words!$Q:$Q)))</f>
        <v>8</v>
      </c>
      <c r="N29" s="33" t="str" cm="1">
        <f t="array" aca="1" ref="N29" ca="1">INDEX(Words!$Q:$Q,M29)</f>
        <v>summer</v>
      </c>
      <c r="O29" s="34" t="str">
        <f ca="1">VLOOKUP($B29,Words!$A:$F,4,0)&amp;""</f>
        <v/>
      </c>
      <c r="P29" s="35" t="str">
        <f ca="1">VLOOKUP($B29,Words!$A:$F,3,0)&amp;""</f>
        <v/>
      </c>
      <c r="Q29" s="27"/>
      <c r="R29" s="9"/>
      <c r="S29" s="39">
        <f ca="1">VLOOKUP(N29,Words!$A:$F,2,0)</f>
        <v>4</v>
      </c>
      <c r="T29" s="22" t="str">
        <f t="shared" ca="1" si="16"/>
        <v>Summer</v>
      </c>
      <c r="U29" s="22" t="str">
        <f t="shared" ca="1" si="17"/>
        <v/>
      </c>
      <c r="V29" s="25" t="str">
        <f t="shared" ca="1" si="18"/>
        <v/>
      </c>
      <c r="W29" s="11"/>
    </row>
    <row r="30" spans="1:23" ht="33.75" thickBot="1">
      <c r="A30" s="26"/>
      <c r="B30" s="26"/>
      <c r="C30" s="26"/>
      <c r="D30" s="26"/>
      <c r="E30" s="26"/>
      <c r="F30" s="12"/>
      <c r="G30" s="23"/>
      <c r="H30" s="24"/>
      <c r="I30" s="24"/>
      <c r="J30" s="24"/>
      <c r="K30" s="13"/>
      <c r="M30" s="26"/>
      <c r="N30" s="26"/>
      <c r="O30" s="26"/>
      <c r="P30" s="26"/>
      <c r="Q30" s="26"/>
      <c r="R30" s="12"/>
      <c r="S30" s="23"/>
      <c r="T30" s="24"/>
      <c r="U30" s="24"/>
      <c r="V30" s="24"/>
      <c r="W30" s="13"/>
    </row>
    <row r="32" spans="1:23" ht="15.75" thickBot="1"/>
    <row r="33" spans="1:23" ht="35.25">
      <c r="A33" s="36" t="s">
        <v>256</v>
      </c>
      <c r="B33" s="37" t="s">
        <v>257</v>
      </c>
      <c r="C33" s="37" t="s">
        <v>258</v>
      </c>
      <c r="D33" s="38" t="s">
        <v>259</v>
      </c>
      <c r="E33" s="26"/>
      <c r="F33" s="6"/>
      <c r="G33" s="17"/>
      <c r="H33" s="7"/>
      <c r="I33" s="21" t="s">
        <v>132</v>
      </c>
      <c r="J33" s="7"/>
      <c r="K33" s="8"/>
      <c r="M33" s="36" t="s">
        <v>256</v>
      </c>
      <c r="N33" s="37" t="s">
        <v>257</v>
      </c>
      <c r="O33" s="37" t="s">
        <v>258</v>
      </c>
      <c r="P33" s="38" t="s">
        <v>259</v>
      </c>
      <c r="Q33" s="26"/>
      <c r="R33" s="6"/>
      <c r="S33" s="17"/>
      <c r="T33" s="7"/>
      <c r="U33" s="21" t="s">
        <v>132</v>
      </c>
      <c r="V33" s="7"/>
      <c r="W33" s="8"/>
    </row>
    <row r="34" spans="1:23" ht="30.75">
      <c r="A34" s="29">
        <f ca="1">+INT(RANDBETWEEN(1,COUNTA(Words!$K:$K)))</f>
        <v>22</v>
      </c>
      <c r="B34" s="30" t="str" cm="1">
        <f t="array" aca="1" ref="B34" ca="1">INDEX(Words!$K:$K,A34)</f>
        <v>fly</v>
      </c>
      <c r="C34" s="28" t="str">
        <f ca="1">VLOOKUP($B34,Words!$A:$F,4,0)&amp;""</f>
        <v/>
      </c>
      <c r="D34" s="31" t="str">
        <f ca="1">VLOOKUP($B34,Words!$A:$F,3,0)&amp;""</f>
        <v/>
      </c>
      <c r="E34" s="27"/>
      <c r="F34" s="9"/>
      <c r="G34" s="39">
        <f ca="1">VLOOKUP(B34,Words!$A:$F,2,0)</f>
        <v>1</v>
      </c>
      <c r="H34" s="22" t="str">
        <f ca="1">+UPPER(LEFT(B34,1))&amp;LOWER(RIGHT(B34,LEN(B34)-1))</f>
        <v>Fly</v>
      </c>
      <c r="I34" s="22" t="str">
        <f ca="1">IFERROR(UPPER(LEFT(D34,1))&amp;LOWER(RIGHT(D34,LEN(D34)-1)),"")</f>
        <v/>
      </c>
      <c r="J34" s="25" t="str">
        <f ca="1">IF(AND(C34&lt;&gt;"",I34&lt;&gt;""),"+"&amp;C34,IF(TRIM(I34)&lt;&gt;""," +1",""))</f>
        <v/>
      </c>
      <c r="K34" s="11"/>
      <c r="M34" s="29">
        <f ca="1">+INT(RANDBETWEEN(1,COUNTA(Words!$K:$K)))</f>
        <v>6</v>
      </c>
      <c r="N34" s="30" t="str" cm="1">
        <f t="array" aca="1" ref="N34" ca="1">INDEX(Words!$K:$K,M34)</f>
        <v>boat</v>
      </c>
      <c r="O34" s="28" t="str">
        <f ca="1">VLOOKUP($B34,Words!$A:$F,4,0)&amp;""</f>
        <v/>
      </c>
      <c r="P34" s="31" t="str">
        <f ca="1">VLOOKUP($B34,Words!$A:$F,3,0)&amp;""</f>
        <v/>
      </c>
      <c r="Q34" s="27"/>
      <c r="R34" s="9"/>
      <c r="S34" s="39">
        <f ca="1">VLOOKUP(N34,Words!$A:$F,2,0)</f>
        <v>1</v>
      </c>
      <c r="T34" s="22" t="str">
        <f ca="1">+UPPER(LEFT(N34,1))&amp;LOWER(RIGHT(N34,LEN(N34)-1))</f>
        <v>Boat</v>
      </c>
      <c r="U34" s="22" t="str">
        <f ca="1">IFERROR(UPPER(LEFT(P34,1))&amp;LOWER(RIGHT(P34,LEN(P34)-1)),"")</f>
        <v/>
      </c>
      <c r="V34" s="25" t="str">
        <f ca="1">IF(AND(O34&lt;&gt;"",U34&lt;&gt;""),"+"&amp;O34,IF(TRIM(U34)&lt;&gt;""," +1",""))</f>
        <v/>
      </c>
      <c r="W34" s="11"/>
    </row>
    <row r="35" spans="1:23" ht="30.75">
      <c r="A35" s="29">
        <f ca="1">+INT(RANDBETWEEN(1,COUNTA(Words!$M:$M)))</f>
        <v>4</v>
      </c>
      <c r="B35" s="30" t="str" cm="1">
        <f t="array" aca="1" ref="B35" ca="1">INDEX(Words!$M:$M,A35)</f>
        <v>snake</v>
      </c>
      <c r="C35" s="28" t="str">
        <f ca="1">VLOOKUP($B35,Words!$A:$F,4,0)&amp;""</f>
        <v/>
      </c>
      <c r="D35" s="31" t="str">
        <f ca="1">VLOOKUP($B35,Words!$A:$F,3,0)&amp;""</f>
        <v/>
      </c>
      <c r="E35" s="27"/>
      <c r="F35" s="9"/>
      <c r="G35" s="39">
        <f ca="1">VLOOKUP(B35,Words!$A:$F,2,0)</f>
        <v>2</v>
      </c>
      <c r="H35" s="22" t="str">
        <f t="shared" ref="H35:H37" ca="1" si="19">+UPPER(LEFT(B35,1))&amp;LOWER(RIGHT(B35,LEN(B35)-1))</f>
        <v>Snake</v>
      </c>
      <c r="I35" s="22" t="str">
        <f t="shared" ref="I35:I37" ca="1" si="20">IFERROR(UPPER(LEFT(D35,1))&amp;LOWER(RIGHT(D35,LEN(D35)-1)),"")</f>
        <v/>
      </c>
      <c r="J35" s="25" t="str">
        <f t="shared" ref="J35:J37" ca="1" si="21">IF(AND(C35&lt;&gt;"",I35&lt;&gt;""),"+"&amp;C35,IF(TRIM(I35)&lt;&gt;""," +1",""))</f>
        <v/>
      </c>
      <c r="K35" s="11"/>
      <c r="M35" s="29">
        <f ca="1">+INT(RANDBETWEEN(1,COUNTA(Words!$M:$M)))</f>
        <v>19</v>
      </c>
      <c r="N35" s="30" t="str" cm="1">
        <f t="array" aca="1" ref="N35" ca="1">INDEX(Words!$M:$M,M35)</f>
        <v>ship</v>
      </c>
      <c r="O35" s="28" t="str">
        <f ca="1">VLOOKUP($B35,Words!$A:$F,4,0)&amp;""</f>
        <v/>
      </c>
      <c r="P35" s="31" t="str">
        <f ca="1">VLOOKUP($B35,Words!$A:$F,3,0)&amp;""</f>
        <v/>
      </c>
      <c r="Q35" s="27"/>
      <c r="R35" s="9"/>
      <c r="S35" s="39">
        <f ca="1">VLOOKUP(N35,Words!$A:$F,2,0)</f>
        <v>2</v>
      </c>
      <c r="T35" s="22" t="str">
        <f t="shared" ref="T35:T37" ca="1" si="22">+UPPER(LEFT(N35,1))&amp;LOWER(RIGHT(N35,LEN(N35)-1))</f>
        <v>Ship</v>
      </c>
      <c r="U35" s="22" t="str">
        <f t="shared" ref="U35:U37" ca="1" si="23">IFERROR(UPPER(LEFT(P35,1))&amp;LOWER(RIGHT(P35,LEN(P35)-1)),"")</f>
        <v/>
      </c>
      <c r="V35" s="25" t="str">
        <f t="shared" ref="V35:V37" ca="1" si="24">IF(AND(O35&lt;&gt;"",U35&lt;&gt;""),"+"&amp;O35,IF(TRIM(U35)&lt;&gt;""," +1",""))</f>
        <v/>
      </c>
      <c r="W35" s="11"/>
    </row>
    <row r="36" spans="1:23" ht="30.75">
      <c r="A36" s="29">
        <f ca="1">+INT(RANDBETWEEN(1,COUNTA(Words!$O:$O)))</f>
        <v>9</v>
      </c>
      <c r="B36" s="30" t="str" cm="1">
        <f t="array" aca="1" ref="B36" ca="1">INDEX(Words!$O:$O,A36)</f>
        <v>hedgehog</v>
      </c>
      <c r="C36" s="28" t="str">
        <f ca="1">VLOOKUP($B36,Words!$A:$F,4,0)&amp;""</f>
        <v/>
      </c>
      <c r="D36" s="31" t="str">
        <f ca="1">VLOOKUP($B36,Words!$A:$F,3,0)&amp;""</f>
        <v/>
      </c>
      <c r="E36" s="27"/>
      <c r="F36" s="9"/>
      <c r="G36" s="39">
        <f ca="1">VLOOKUP(B36,Words!$A:$F,2,0)</f>
        <v>3</v>
      </c>
      <c r="H36" s="22" t="str">
        <f t="shared" ca="1" si="19"/>
        <v>Hedgehog</v>
      </c>
      <c r="I36" s="22" t="str">
        <f t="shared" ca="1" si="20"/>
        <v/>
      </c>
      <c r="J36" s="25" t="str">
        <f t="shared" ca="1" si="21"/>
        <v/>
      </c>
      <c r="K36" s="11"/>
      <c r="M36" s="29">
        <f ca="1">+INT(RANDBETWEEN(1,COUNTA(Words!$O:$O)))</f>
        <v>7</v>
      </c>
      <c r="N36" s="30" t="str" cm="1">
        <f t="array" aca="1" ref="N36" ca="1">INDEX(Words!$O:$O,M36)</f>
        <v>computer</v>
      </c>
      <c r="O36" s="28" t="str">
        <f ca="1">VLOOKUP($B36,Words!$A:$F,4,0)&amp;""</f>
        <v/>
      </c>
      <c r="P36" s="31" t="str">
        <f ca="1">VLOOKUP($B36,Words!$A:$F,3,0)&amp;""</f>
        <v/>
      </c>
      <c r="Q36" s="27"/>
      <c r="R36" s="9"/>
      <c r="S36" s="39">
        <f ca="1">VLOOKUP(N36,Words!$A:$F,2,0)</f>
        <v>3</v>
      </c>
      <c r="T36" s="22" t="str">
        <f t="shared" ca="1" si="22"/>
        <v>Computer</v>
      </c>
      <c r="U36" s="22" t="str">
        <f t="shared" ca="1" si="23"/>
        <v/>
      </c>
      <c r="V36" s="25" t="str">
        <f t="shared" ca="1" si="24"/>
        <v/>
      </c>
      <c r="W36" s="11"/>
    </row>
    <row r="37" spans="1:23" ht="30.75">
      <c r="A37" s="32">
        <f ca="1">+INT(RANDBETWEEN(1,COUNTA(Words!$Q:$Q)))</f>
        <v>6</v>
      </c>
      <c r="B37" s="33" t="str" cm="1">
        <f t="array" aca="1" ref="B37" ca="1">INDEX(Words!$Q:$Q,A37)</f>
        <v>solar system</v>
      </c>
      <c r="C37" s="34" t="str">
        <f ca="1">VLOOKUP($B37,Words!$A:$F,4,0)&amp;""</f>
        <v/>
      </c>
      <c r="D37" s="35" t="str">
        <f ca="1">VLOOKUP($B37,Words!$A:$F,3,0)&amp;""</f>
        <v/>
      </c>
      <c r="E37" s="27"/>
      <c r="F37" s="9"/>
      <c r="G37" s="39">
        <f ca="1">VLOOKUP(B37,Words!$A:$F,2,0)</f>
        <v>4</v>
      </c>
      <c r="H37" s="22" t="str">
        <f t="shared" ca="1" si="19"/>
        <v>Solar system</v>
      </c>
      <c r="I37" s="22" t="str">
        <f t="shared" ca="1" si="20"/>
        <v/>
      </c>
      <c r="J37" s="25" t="str">
        <f t="shared" ca="1" si="21"/>
        <v/>
      </c>
      <c r="K37" s="11"/>
      <c r="M37" s="32">
        <f ca="1">+INT(RANDBETWEEN(1,COUNTA(Words!$Q:$Q)))</f>
        <v>9</v>
      </c>
      <c r="N37" s="33" t="str" cm="1">
        <f t="array" aca="1" ref="N37" ca="1">INDEX(Words!$Q:$Q,M37)</f>
        <v>treasure</v>
      </c>
      <c r="O37" s="34" t="str">
        <f ca="1">VLOOKUP($B37,Words!$A:$F,4,0)&amp;""</f>
        <v/>
      </c>
      <c r="P37" s="35" t="str">
        <f ca="1">VLOOKUP($B37,Words!$A:$F,3,0)&amp;""</f>
        <v/>
      </c>
      <c r="Q37" s="27"/>
      <c r="R37" s="9"/>
      <c r="S37" s="39">
        <f ca="1">VLOOKUP(N37,Words!$A:$F,2,0)</f>
        <v>4</v>
      </c>
      <c r="T37" s="22" t="str">
        <f t="shared" ca="1" si="22"/>
        <v>Treasure</v>
      </c>
      <c r="U37" s="22" t="str">
        <f t="shared" ca="1" si="23"/>
        <v/>
      </c>
      <c r="V37" s="25" t="str">
        <f t="shared" ca="1" si="24"/>
        <v/>
      </c>
      <c r="W37" s="11"/>
    </row>
    <row r="38" spans="1:23" ht="33.75" thickBot="1">
      <c r="A38" s="26"/>
      <c r="B38" s="26"/>
      <c r="C38" s="26"/>
      <c r="D38" s="26"/>
      <c r="E38" s="26"/>
      <c r="F38" s="12"/>
      <c r="G38" s="23"/>
      <c r="H38" s="24"/>
      <c r="I38" s="24"/>
      <c r="J38" s="24"/>
      <c r="K38" s="13"/>
      <c r="M38" s="26"/>
      <c r="N38" s="26"/>
      <c r="O38" s="26"/>
      <c r="P38" s="26"/>
      <c r="Q38" s="26"/>
      <c r="R38" s="12"/>
      <c r="S38" s="23"/>
      <c r="T38" s="24"/>
      <c r="U38" s="24"/>
      <c r="V38" s="24"/>
      <c r="W38" s="13"/>
    </row>
  </sheetData>
  <pageMargins left="0.25" right="0.25" top="0.75" bottom="0.75" header="0.3" footer="0.3"/>
  <pageSetup paperSize="9" scale="5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Words</vt:lpstr>
      <vt:lpstr>Card</vt:lpstr>
      <vt:lpstr>Deck</vt:lpstr>
      <vt:lpstr>Deck Static</vt:lpstr>
      <vt:lpstr>card</vt:lpstr>
      <vt:lpstr>number_of_cards</vt:lpstr>
      <vt:lpstr>number_of_columns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2020-07-11T12:28:07Z</cp:lastPrinted>
  <dcterms:created xsi:type="dcterms:W3CDTF">2020-07-09T19:40:04Z</dcterms:created>
  <dcterms:modified xsi:type="dcterms:W3CDTF">2020-07-11T18:39:18Z</dcterms:modified>
</cp:coreProperties>
</file>