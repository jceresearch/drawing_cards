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76b35523ffeb5f9/shared/"/>
    </mc:Choice>
  </mc:AlternateContent>
  <xr:revisionPtr revIDLastSave="3190" documentId="13_ncr:1_{1216FFEF-2082-4FF0-85AF-1918DEDD01C4}" xr6:coauthVersionLast="45" xr6:coauthVersionMax="45" xr10:uidLastSave="{67AFB3F6-A10D-481F-AEDB-50E747413E3E}"/>
  <bookViews>
    <workbookView xWindow="-120" yWindow="-120" windowWidth="29040" windowHeight="15840" activeTab="3" xr2:uid="{A5B8A865-B904-4109-B754-D7B9B5186A55}"/>
  </bookViews>
  <sheets>
    <sheet name="Words" sheetId="1" r:id="rId1"/>
    <sheet name="Card" sheetId="2" r:id="rId2"/>
    <sheet name="Deck" sheetId="3" r:id="rId3"/>
    <sheet name="Deck NoMacro" sheetId="4" r:id="rId4"/>
  </sheets>
  <definedNames>
    <definedName name="_xlnm._FilterDatabase" localSheetId="0" hidden="1">Words!$A$1:$F$147</definedName>
    <definedName name="card">Card!$F$3:$K$8</definedName>
    <definedName name="number_of_cards">Card!$C$16</definedName>
    <definedName name="number_of_columns">Card!$C$17</definedName>
    <definedName name="wordlist">OFFSET(Words!$A$1,1,0,COUNTA(Words!$A:$A)-1,1)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31" i="4" l="1"/>
  <c r="I31" i="4"/>
  <c r="I19" i="4"/>
  <c r="I13" i="4"/>
  <c r="I7" i="4"/>
  <c r="E164" i="1"/>
  <c r="F164" i="1"/>
  <c r="E163" i="1"/>
  <c r="F163" i="1"/>
  <c r="E162" i="1"/>
  <c r="F162" i="1"/>
  <c r="E161" i="1"/>
  <c r="F161" i="1"/>
  <c r="E160" i="1"/>
  <c r="F160" i="1"/>
  <c r="E159" i="1"/>
  <c r="F159" i="1"/>
  <c r="E158" i="1"/>
  <c r="F158" i="1"/>
  <c r="E157" i="1"/>
  <c r="F157" i="1"/>
  <c r="E156" i="1"/>
  <c r="F156" i="1"/>
  <c r="E155" i="1"/>
  <c r="F155" i="1"/>
  <c r="E154" i="1"/>
  <c r="F154" i="1"/>
  <c r="E153" i="1"/>
  <c r="F153" i="1"/>
  <c r="E152" i="1"/>
  <c r="F152" i="1"/>
  <c r="E151" i="1"/>
  <c r="F151" i="1"/>
  <c r="E150" i="1"/>
  <c r="F150" i="1"/>
  <c r="E149" i="1"/>
  <c r="F149" i="1"/>
  <c r="F73" i="1"/>
  <c r="E73" i="1"/>
  <c r="F4" i="1" l="1"/>
  <c r="F6" i="1"/>
  <c r="F8" i="1"/>
  <c r="F11" i="1"/>
  <c r="F14" i="1"/>
  <c r="F16" i="1"/>
  <c r="F18" i="1"/>
  <c r="F22" i="1"/>
  <c r="F23" i="1"/>
  <c r="F24" i="1"/>
  <c r="F26" i="1"/>
  <c r="F27" i="1"/>
  <c r="F29" i="1"/>
  <c r="F33" i="1"/>
  <c r="F35" i="1"/>
  <c r="F36" i="1"/>
  <c r="F37" i="1"/>
  <c r="F39" i="1"/>
  <c r="F44" i="1"/>
  <c r="F50" i="1"/>
  <c r="F51" i="1"/>
  <c r="F52" i="1"/>
  <c r="F55" i="1"/>
  <c r="F61" i="1"/>
  <c r="F62" i="1"/>
  <c r="F69" i="1"/>
  <c r="F78" i="1"/>
  <c r="F87" i="1"/>
  <c r="F88" i="1"/>
  <c r="F89" i="1"/>
  <c r="F91" i="1"/>
  <c r="F93" i="1"/>
  <c r="F94" i="1"/>
  <c r="F96" i="1"/>
  <c r="F98" i="1"/>
  <c r="F102" i="1"/>
  <c r="F106" i="1"/>
  <c r="F113" i="1"/>
  <c r="F115" i="1"/>
  <c r="F117" i="1"/>
  <c r="F119" i="1"/>
  <c r="F127" i="1"/>
  <c r="F128" i="1"/>
  <c r="F131" i="1"/>
  <c r="F132" i="1"/>
  <c r="F134" i="1"/>
  <c r="F13" i="1"/>
  <c r="F20" i="1"/>
  <c r="F21" i="1"/>
  <c r="F25" i="1"/>
  <c r="F28" i="1"/>
  <c r="F40" i="1"/>
  <c r="F45" i="1"/>
  <c r="F47" i="1"/>
  <c r="F48" i="1"/>
  <c r="F53" i="1"/>
  <c r="F56" i="1"/>
  <c r="F57" i="1"/>
  <c r="F59" i="1"/>
  <c r="F60" i="1"/>
  <c r="F67" i="1"/>
  <c r="F68" i="1"/>
  <c r="F71" i="1"/>
  <c r="F72" i="1"/>
  <c r="F77" i="1"/>
  <c r="F80" i="1"/>
  <c r="F81" i="1"/>
  <c r="F82" i="1"/>
  <c r="F83" i="1"/>
  <c r="F84" i="1"/>
  <c r="F85" i="1"/>
  <c r="F92" i="1"/>
  <c r="F101" i="1"/>
  <c r="F107" i="1"/>
  <c r="F109" i="1"/>
  <c r="F111" i="1"/>
  <c r="F116" i="1"/>
  <c r="F123" i="1"/>
  <c r="F124" i="1"/>
  <c r="F135" i="1"/>
  <c r="F136" i="1"/>
  <c r="F137" i="1"/>
  <c r="F146" i="1"/>
  <c r="F147" i="1"/>
  <c r="F32" i="1"/>
  <c r="F140" i="1"/>
  <c r="F66" i="1"/>
  <c r="F143" i="1"/>
  <c r="F42" i="1"/>
  <c r="F10" i="1"/>
  <c r="F122" i="1"/>
  <c r="F9" i="1"/>
  <c r="F19" i="1"/>
  <c r="F30" i="1"/>
  <c r="F41" i="1"/>
  <c r="F46" i="1"/>
  <c r="F63" i="1"/>
  <c r="F64" i="1"/>
  <c r="F129" i="1"/>
  <c r="F75" i="1"/>
  <c r="F79" i="1"/>
  <c r="F103" i="1"/>
  <c r="F104" i="1"/>
  <c r="F108" i="1"/>
  <c r="F110" i="1"/>
  <c r="F112" i="1"/>
  <c r="F120" i="1"/>
  <c r="F130" i="1"/>
  <c r="F138" i="1"/>
  <c r="F142" i="1"/>
  <c r="F70" i="1"/>
  <c r="F139" i="1"/>
  <c r="F95" i="1"/>
  <c r="F125" i="1"/>
  <c r="F15" i="1"/>
  <c r="F5" i="1"/>
  <c r="F7" i="1"/>
  <c r="F17" i="1"/>
  <c r="F34" i="1"/>
  <c r="F58" i="1"/>
  <c r="F76" i="1"/>
  <c r="F86" i="1"/>
  <c r="F105" i="1"/>
  <c r="F114" i="1"/>
  <c r="F118" i="1"/>
  <c r="F121" i="1"/>
  <c r="F133" i="1"/>
  <c r="F141" i="1"/>
  <c r="F144" i="1"/>
  <c r="F126" i="1"/>
  <c r="F54" i="1"/>
  <c r="F99" i="1"/>
  <c r="F65" i="1"/>
  <c r="F2" i="1"/>
  <c r="F31" i="1"/>
  <c r="F100" i="1"/>
  <c r="F38" i="1"/>
  <c r="F90" i="1"/>
  <c r="F12" i="1"/>
  <c r="F74" i="1"/>
  <c r="F148" i="1"/>
  <c r="F97" i="1"/>
  <c r="F43" i="1"/>
  <c r="F49" i="1"/>
  <c r="F145" i="1"/>
  <c r="F3" i="1"/>
  <c r="E145" i="1"/>
  <c r="E49" i="1"/>
  <c r="E43" i="1"/>
  <c r="E15" i="1"/>
  <c r="E122" i="1"/>
  <c r="E97" i="1"/>
  <c r="E148" i="1"/>
  <c r="E74" i="1"/>
  <c r="E12" i="1"/>
  <c r="E90" i="1"/>
  <c r="E125" i="1"/>
  <c r="E38" i="1"/>
  <c r="E95" i="1"/>
  <c r="E100" i="1"/>
  <c r="E31" i="1"/>
  <c r="E2" i="1"/>
  <c r="E65" i="1"/>
  <c r="E10" i="1" l="1"/>
  <c r="E99" i="1"/>
  <c r="E54" i="1"/>
  <c r="E42" i="1"/>
  <c r="E143" i="1"/>
  <c r="E66" i="1"/>
  <c r="E140" i="1"/>
  <c r="E139" i="1"/>
  <c r="E126" i="1"/>
  <c r="E32" i="1"/>
  <c r="E70" i="1"/>
  <c r="U25" i="4"/>
  <c r="U19" i="4"/>
  <c r="U13" i="4"/>
  <c r="I25" i="4"/>
  <c r="U7" i="4"/>
  <c r="U1" i="4"/>
  <c r="E60" i="1" l="1"/>
  <c r="E45" i="1"/>
  <c r="E47" i="1"/>
  <c r="E80" i="1"/>
  <c r="E81" i="1"/>
  <c r="E58" i="1"/>
  <c r="E110" i="1"/>
  <c r="E142" i="1"/>
  <c r="E41" i="1"/>
  <c r="E105" i="1"/>
  <c r="E129" i="1"/>
  <c r="E25" i="1"/>
  <c r="E69" i="1"/>
  <c r="E30" i="1"/>
  <c r="E103" i="1"/>
  <c r="E72" i="1"/>
  <c r="E147" i="1"/>
  <c r="E130" i="1"/>
  <c r="E26" i="1" l="1"/>
  <c r="E13" i="1"/>
  <c r="E109" i="1"/>
  <c r="E114" i="1" l="1"/>
  <c r="E46" i="1"/>
  <c r="E34" i="1"/>
  <c r="E112" i="1"/>
  <c r="E37" i="1"/>
  <c r="E56" i="1"/>
  <c r="E85" i="1"/>
  <c r="E127" i="1"/>
  <c r="E3" i="1"/>
  <c r="E4" i="1"/>
  <c r="E6" i="1"/>
  <c r="E8" i="1"/>
  <c r="E11" i="1"/>
  <c r="E14" i="1"/>
  <c r="E16" i="1"/>
  <c r="E17" i="1"/>
  <c r="E18" i="1"/>
  <c r="E21" i="1"/>
  <c r="E22" i="1"/>
  <c r="E23" i="1"/>
  <c r="E27" i="1"/>
  <c r="E29" i="1"/>
  <c r="E33" i="1"/>
  <c r="E35" i="1"/>
  <c r="E36" i="1"/>
  <c r="E39" i="1"/>
  <c r="E40" i="1"/>
  <c r="E44" i="1"/>
  <c r="E48" i="1"/>
  <c r="E50" i="1"/>
  <c r="E51" i="1"/>
  <c r="E52" i="1"/>
  <c r="E55" i="1"/>
  <c r="E57" i="1"/>
  <c r="E59" i="1"/>
  <c r="E61" i="1"/>
  <c r="E62" i="1"/>
  <c r="E67" i="1"/>
  <c r="E71" i="1"/>
  <c r="E75" i="1"/>
  <c r="E76" i="1"/>
  <c r="E77" i="1"/>
  <c r="E78" i="1"/>
  <c r="E79" i="1"/>
  <c r="E87" i="1"/>
  <c r="E88" i="1"/>
  <c r="E89" i="1"/>
  <c r="E91" i="1"/>
  <c r="E93" i="1"/>
  <c r="E94" i="1"/>
  <c r="E96" i="1"/>
  <c r="E98" i="1"/>
  <c r="E101" i="1"/>
  <c r="E102" i="1"/>
  <c r="E104" i="1"/>
  <c r="E106" i="1"/>
  <c r="E107" i="1"/>
  <c r="E108" i="1"/>
  <c r="E111" i="1"/>
  <c r="E113" i="1"/>
  <c r="E115" i="1"/>
  <c r="E117" i="1"/>
  <c r="E119" i="1"/>
  <c r="E124" i="1"/>
  <c r="E128" i="1"/>
  <c r="E131" i="1"/>
  <c r="E132" i="1"/>
  <c r="E134" i="1"/>
  <c r="E135" i="1"/>
  <c r="E136" i="1"/>
  <c r="E137" i="1"/>
  <c r="E138" i="1"/>
  <c r="E146" i="1"/>
  <c r="E20" i="1"/>
  <c r="E28" i="1"/>
  <c r="E53" i="1"/>
  <c r="E63" i="1"/>
  <c r="E64" i="1"/>
  <c r="E68" i="1"/>
  <c r="E82" i="1"/>
  <c r="E83" i="1"/>
  <c r="E84" i="1"/>
  <c r="E92" i="1"/>
  <c r="E116" i="1"/>
  <c r="E123" i="1"/>
  <c r="E7" i="1"/>
  <c r="E19" i="1"/>
  <c r="E9" i="1"/>
  <c r="E86" i="1"/>
  <c r="E120" i="1"/>
  <c r="E118" i="1"/>
  <c r="E121" i="1"/>
  <c r="E5" i="1"/>
  <c r="E144" i="1"/>
  <c r="E141" i="1"/>
  <c r="E133" i="1"/>
  <c r="E24" i="1"/>
  <c r="O1" i="1" a="1"/>
  <c r="O1" i="1" s="1"/>
  <c r="M1" i="1" a="1"/>
  <c r="M1" i="1" s="1"/>
  <c r="K1" i="1" a="1"/>
  <c r="K1" i="1" s="1"/>
  <c r="I1" i="1" a="1"/>
  <c r="I1" i="1" s="1"/>
  <c r="M27" i="4" l="1"/>
  <c r="N27" i="4" s="1" a="1"/>
  <c r="N27" i="4" s="1"/>
  <c r="M33" i="4"/>
  <c r="N33" i="4" s="1" a="1"/>
  <c r="N33" i="4" s="1"/>
  <c r="A33" i="4"/>
  <c r="B33" i="4" s="1" a="1"/>
  <c r="B33" i="4" s="1"/>
  <c r="M29" i="4"/>
  <c r="N29" i="4" s="1" a="1"/>
  <c r="N29" i="4" s="1"/>
  <c r="T29" i="4" s="1"/>
  <c r="M35" i="4"/>
  <c r="N35" i="4" s="1" a="1"/>
  <c r="N35" i="4" s="1"/>
  <c r="A35" i="4"/>
  <c r="B35" i="4" s="1" a="1"/>
  <c r="B35" i="4" s="1"/>
  <c r="M26" i="4"/>
  <c r="N26" i="4" s="1" a="1"/>
  <c r="N26" i="4" s="1"/>
  <c r="M32" i="4"/>
  <c r="N32" i="4" s="1" a="1"/>
  <c r="N32" i="4" s="1"/>
  <c r="A32" i="4"/>
  <c r="B32" i="4" s="1" a="1"/>
  <c r="B32" i="4" s="1"/>
  <c r="M28" i="4"/>
  <c r="N28" i="4" s="1" a="1"/>
  <c r="N28" i="4" s="1"/>
  <c r="T28" i="4" s="1"/>
  <c r="M34" i="4"/>
  <c r="N34" i="4" s="1" a="1"/>
  <c r="N34" i="4" s="1"/>
  <c r="A34" i="4"/>
  <c r="B34" i="4" s="1" a="1"/>
  <c r="B34" i="4" s="1"/>
  <c r="T27" i="4"/>
  <c r="S27" i="4"/>
  <c r="T26" i="4"/>
  <c r="S26" i="4"/>
  <c r="P27" i="4"/>
  <c r="U27" i="4" s="1"/>
  <c r="O27" i="4"/>
  <c r="O26" i="4"/>
  <c r="P26" i="4"/>
  <c r="U26" i="4" s="1"/>
  <c r="M15" i="4"/>
  <c r="N15" i="4" s="1" a="1"/>
  <c r="N15" i="4" s="1"/>
  <c r="M21" i="4"/>
  <c r="N21" i="4" s="1" a="1"/>
  <c r="N21" i="4" s="1"/>
  <c r="M17" i="4"/>
  <c r="N17" i="4" s="1" a="1"/>
  <c r="N17" i="4" s="1"/>
  <c r="M23" i="4"/>
  <c r="N23" i="4" s="1" a="1"/>
  <c r="N23" i="4" s="1"/>
  <c r="M14" i="4"/>
  <c r="N14" i="4" s="1" a="1"/>
  <c r="N14" i="4" s="1"/>
  <c r="M20" i="4"/>
  <c r="N20" i="4" s="1" a="1"/>
  <c r="N20" i="4" s="1"/>
  <c r="M16" i="4"/>
  <c r="N16" i="4" s="1" a="1"/>
  <c r="N16" i="4" s="1"/>
  <c r="M22" i="4"/>
  <c r="N22" i="4" s="1" a="1"/>
  <c r="N22" i="4" s="1"/>
  <c r="P15" i="4"/>
  <c r="U15" i="4" s="1"/>
  <c r="M3" i="4"/>
  <c r="N3" i="4" s="1" a="1"/>
  <c r="N3" i="4" s="1"/>
  <c r="P3" i="4" s="1"/>
  <c r="U3" i="4" s="1"/>
  <c r="M9" i="4"/>
  <c r="N9" i="4" s="1" a="1"/>
  <c r="N9" i="4" s="1"/>
  <c r="M5" i="4"/>
  <c r="N5" i="4" s="1" a="1"/>
  <c r="N5" i="4" s="1"/>
  <c r="M11" i="4"/>
  <c r="N11" i="4" s="1" a="1"/>
  <c r="N11" i="4" s="1"/>
  <c r="T11" i="4" s="1"/>
  <c r="M2" i="4"/>
  <c r="N2" i="4" s="1" a="1"/>
  <c r="N2" i="4" s="1"/>
  <c r="M8" i="4"/>
  <c r="N8" i="4" s="1" a="1"/>
  <c r="N8" i="4" s="1"/>
  <c r="M4" i="4"/>
  <c r="N4" i="4" s="1" a="1"/>
  <c r="N4" i="4" s="1"/>
  <c r="M10" i="4"/>
  <c r="N10" i="4" s="1" a="1"/>
  <c r="N10" i="4" s="1"/>
  <c r="A21" i="4"/>
  <c r="B21" i="4" s="1" a="1"/>
  <c r="B21" i="4" s="1"/>
  <c r="H21" i="4" s="1"/>
  <c r="A27" i="4"/>
  <c r="B27" i="4" s="1" a="1"/>
  <c r="B27" i="4" s="1"/>
  <c r="A23" i="4"/>
  <c r="B23" i="4" s="1" a="1"/>
  <c r="B23" i="4" s="1"/>
  <c r="H23" i="4" s="1"/>
  <c r="A29" i="4"/>
  <c r="B29" i="4" s="1" a="1"/>
  <c r="B29" i="4" s="1"/>
  <c r="A20" i="4"/>
  <c r="B20" i="4" s="1" a="1"/>
  <c r="B20" i="4" s="1"/>
  <c r="A26" i="4"/>
  <c r="B26" i="4" s="1" a="1"/>
  <c r="B26" i="4" s="1"/>
  <c r="A22" i="4"/>
  <c r="B22" i="4" s="1" a="1"/>
  <c r="B22" i="4" s="1"/>
  <c r="H22" i="4" s="1"/>
  <c r="A28" i="4"/>
  <c r="B28" i="4" s="1" a="1"/>
  <c r="B28" i="4" s="1"/>
  <c r="D21" i="4"/>
  <c r="I21" i="4" s="1"/>
  <c r="A9" i="4"/>
  <c r="B9" i="4" s="1" a="1"/>
  <c r="B9" i="4" s="1"/>
  <c r="A15" i="4"/>
  <c r="B15" i="4" s="1" a="1"/>
  <c r="B15" i="4" s="1"/>
  <c r="H15" i="4" s="1"/>
  <c r="A11" i="4"/>
  <c r="B11" i="4" s="1" a="1"/>
  <c r="B11" i="4" s="1"/>
  <c r="A17" i="4"/>
  <c r="B17" i="4" s="1" a="1"/>
  <c r="B17" i="4" s="1"/>
  <c r="H17" i="4" s="1"/>
  <c r="A8" i="4"/>
  <c r="B8" i="4" s="1" a="1"/>
  <c r="B8" i="4" s="1"/>
  <c r="A14" i="4"/>
  <c r="B14" i="4" s="1" a="1"/>
  <c r="B14" i="4" s="1"/>
  <c r="A10" i="4"/>
  <c r="B10" i="4" s="1" a="1"/>
  <c r="B10" i="4" s="1"/>
  <c r="A16" i="4"/>
  <c r="B16" i="4" s="1" a="1"/>
  <c r="B16" i="4" s="1"/>
  <c r="H16" i="4" s="1"/>
  <c r="D9" i="4"/>
  <c r="I9" i="4" s="1"/>
  <c r="A3" i="4"/>
  <c r="B3" i="4" s="1" a="1"/>
  <c r="B3" i="4" s="1"/>
  <c r="H3" i="4" s="1"/>
  <c r="A5" i="4"/>
  <c r="B5" i="4" s="1" a="1"/>
  <c r="B5" i="4" s="1"/>
  <c r="H5" i="4" s="1"/>
  <c r="A4" i="4"/>
  <c r="B4" i="4" s="1" a="1"/>
  <c r="B4" i="4" s="1"/>
  <c r="H4" i="4" s="1"/>
  <c r="A4" i="2"/>
  <c r="B4" i="2" s="1" a="1"/>
  <c r="B4" i="2" s="1"/>
  <c r="A2" i="4"/>
  <c r="B2" i="4" s="1" a="1"/>
  <c r="B2" i="4" s="1"/>
  <c r="A7" i="2"/>
  <c r="B7" i="2" s="1" a="1"/>
  <c r="B7" i="2" s="1"/>
  <c r="A6" i="2"/>
  <c r="B6" i="2" s="1" a="1"/>
  <c r="B6" i="2" s="1"/>
  <c r="A5" i="2"/>
  <c r="B5" i="2" s="1" a="1"/>
  <c r="B5" i="2" s="1"/>
  <c r="P28" i="4" l="1"/>
  <c r="U28" i="4" s="1"/>
  <c r="S28" i="4"/>
  <c r="O29" i="4"/>
  <c r="S29" i="4"/>
  <c r="G34" i="4"/>
  <c r="C34" i="4"/>
  <c r="H34" i="4"/>
  <c r="D34" i="4"/>
  <c r="I34" i="4" s="1"/>
  <c r="T32" i="4"/>
  <c r="P32" i="4"/>
  <c r="U32" i="4" s="1"/>
  <c r="S32" i="4"/>
  <c r="O32" i="4"/>
  <c r="V32" i="4" s="1"/>
  <c r="G35" i="4"/>
  <c r="C35" i="4"/>
  <c r="H35" i="4"/>
  <c r="D35" i="4"/>
  <c r="I35" i="4" s="1"/>
  <c r="T33" i="4"/>
  <c r="P33" i="4"/>
  <c r="U33" i="4" s="1"/>
  <c r="S33" i="4"/>
  <c r="O33" i="4"/>
  <c r="V33" i="4" s="1"/>
  <c r="O28" i="4"/>
  <c r="V28" i="4" s="1"/>
  <c r="P29" i="4"/>
  <c r="U29" i="4" s="1"/>
  <c r="T34" i="4"/>
  <c r="P34" i="4"/>
  <c r="U34" i="4" s="1"/>
  <c r="S34" i="4"/>
  <c r="O34" i="4"/>
  <c r="V34" i="4" s="1"/>
  <c r="G32" i="4"/>
  <c r="C32" i="4"/>
  <c r="H32" i="4"/>
  <c r="D32" i="4"/>
  <c r="I32" i="4" s="1"/>
  <c r="T35" i="4"/>
  <c r="P35" i="4"/>
  <c r="U35" i="4" s="1"/>
  <c r="S35" i="4"/>
  <c r="O35" i="4"/>
  <c r="V35" i="4" s="1"/>
  <c r="G33" i="4"/>
  <c r="C33" i="4"/>
  <c r="H33" i="4"/>
  <c r="D33" i="4"/>
  <c r="I33" i="4" s="1"/>
  <c r="V27" i="4"/>
  <c r="V26" i="4"/>
  <c r="T22" i="4"/>
  <c r="S22" i="4"/>
  <c r="T20" i="4"/>
  <c r="S20" i="4"/>
  <c r="T23" i="4"/>
  <c r="S23" i="4"/>
  <c r="T21" i="4"/>
  <c r="S21" i="4"/>
  <c r="P16" i="4"/>
  <c r="U16" i="4" s="1"/>
  <c r="T16" i="4"/>
  <c r="S16" i="4"/>
  <c r="P14" i="4"/>
  <c r="U14" i="4" s="1"/>
  <c r="T14" i="4"/>
  <c r="S14" i="4"/>
  <c r="O17" i="4"/>
  <c r="T17" i="4"/>
  <c r="S17" i="4"/>
  <c r="O15" i="4"/>
  <c r="V15" i="4" s="1"/>
  <c r="T15" i="4"/>
  <c r="S15" i="4"/>
  <c r="T10" i="4"/>
  <c r="S10" i="4"/>
  <c r="T8" i="4"/>
  <c r="S8" i="4"/>
  <c r="S11" i="4"/>
  <c r="T9" i="4"/>
  <c r="S9" i="4"/>
  <c r="P4" i="4"/>
  <c r="U4" i="4" s="1"/>
  <c r="S4" i="4"/>
  <c r="T4" i="4"/>
  <c r="P2" i="4"/>
  <c r="U2" i="4" s="1"/>
  <c r="S2" i="4"/>
  <c r="T2" i="4"/>
  <c r="O5" i="4"/>
  <c r="S5" i="4"/>
  <c r="T5" i="4"/>
  <c r="O3" i="4"/>
  <c r="V3" i="4" s="1"/>
  <c r="S3" i="4"/>
  <c r="T3" i="4"/>
  <c r="G28" i="4"/>
  <c r="H28" i="4"/>
  <c r="G26" i="4"/>
  <c r="H26" i="4"/>
  <c r="G29" i="4"/>
  <c r="H29" i="4"/>
  <c r="G27" i="4"/>
  <c r="H27" i="4"/>
  <c r="D22" i="4"/>
  <c r="I22" i="4" s="1"/>
  <c r="G22" i="4"/>
  <c r="D20" i="4"/>
  <c r="I20" i="4" s="1"/>
  <c r="H20" i="4"/>
  <c r="G20" i="4"/>
  <c r="C23" i="4"/>
  <c r="G23" i="4"/>
  <c r="C21" i="4"/>
  <c r="J21" i="4" s="1"/>
  <c r="G21" i="4"/>
  <c r="G16" i="4"/>
  <c r="H14" i="4"/>
  <c r="G14" i="4"/>
  <c r="G17" i="4"/>
  <c r="G15" i="4"/>
  <c r="D10" i="4"/>
  <c r="I10" i="4" s="1"/>
  <c r="H10" i="4"/>
  <c r="G10" i="4"/>
  <c r="D8" i="4"/>
  <c r="I8" i="4" s="1"/>
  <c r="H8" i="4"/>
  <c r="G8" i="4"/>
  <c r="C11" i="4"/>
  <c r="H11" i="4"/>
  <c r="G11" i="4"/>
  <c r="C9" i="4"/>
  <c r="J9" i="4" s="1"/>
  <c r="H9" i="4"/>
  <c r="G9" i="4"/>
  <c r="C8" i="4"/>
  <c r="C20" i="4"/>
  <c r="O2" i="4"/>
  <c r="O14" i="4"/>
  <c r="G2" i="4"/>
  <c r="H2" i="4"/>
  <c r="D4" i="4"/>
  <c r="I4" i="4" s="1"/>
  <c r="G4" i="4"/>
  <c r="D5" i="4"/>
  <c r="I5" i="4" s="1"/>
  <c r="G5" i="4"/>
  <c r="D3" i="4"/>
  <c r="I3" i="4" s="1"/>
  <c r="G3" i="4"/>
  <c r="C10" i="4"/>
  <c r="J10" i="4" s="1"/>
  <c r="D11" i="4"/>
  <c r="I11" i="4" s="1"/>
  <c r="C22" i="4"/>
  <c r="D23" i="4"/>
  <c r="I23" i="4" s="1"/>
  <c r="O4" i="4"/>
  <c r="P5" i="4"/>
  <c r="U5" i="4" s="1"/>
  <c r="O16" i="4"/>
  <c r="P17" i="4"/>
  <c r="U17" i="4" s="1"/>
  <c r="O22" i="4"/>
  <c r="P22" i="4"/>
  <c r="U22" i="4" s="1"/>
  <c r="O20" i="4"/>
  <c r="P20" i="4"/>
  <c r="U20" i="4" s="1"/>
  <c r="P23" i="4"/>
  <c r="U23" i="4" s="1"/>
  <c r="O23" i="4"/>
  <c r="P21" i="4"/>
  <c r="U21" i="4" s="1"/>
  <c r="O21" i="4"/>
  <c r="O10" i="4"/>
  <c r="P10" i="4"/>
  <c r="U10" i="4" s="1"/>
  <c r="O8" i="4"/>
  <c r="P8" i="4"/>
  <c r="U8" i="4" s="1"/>
  <c r="P11" i="4"/>
  <c r="U11" i="4" s="1"/>
  <c r="O11" i="4"/>
  <c r="P9" i="4"/>
  <c r="U9" i="4" s="1"/>
  <c r="O9" i="4"/>
  <c r="C28" i="4"/>
  <c r="D28" i="4"/>
  <c r="I28" i="4" s="1"/>
  <c r="C26" i="4"/>
  <c r="D26" i="4"/>
  <c r="I26" i="4" s="1"/>
  <c r="D29" i="4"/>
  <c r="I29" i="4" s="1"/>
  <c r="C29" i="4"/>
  <c r="D27" i="4"/>
  <c r="I27" i="4" s="1"/>
  <c r="C27" i="4"/>
  <c r="C16" i="4"/>
  <c r="D16" i="4"/>
  <c r="I16" i="4" s="1"/>
  <c r="C14" i="4"/>
  <c r="D14" i="4"/>
  <c r="I14" i="4" s="1"/>
  <c r="D17" i="4"/>
  <c r="I17" i="4" s="1"/>
  <c r="C17" i="4"/>
  <c r="D15" i="4"/>
  <c r="I15" i="4" s="1"/>
  <c r="C15" i="4"/>
  <c r="C2" i="4"/>
  <c r="D2" i="4"/>
  <c r="I2" i="4" s="1"/>
  <c r="C4" i="4"/>
  <c r="C5" i="4"/>
  <c r="C3" i="4"/>
  <c r="D6" i="2"/>
  <c r="I6" i="2" s="1"/>
  <c r="D5" i="2"/>
  <c r="I5" i="2" s="1"/>
  <c r="C4" i="2"/>
  <c r="C7" i="2"/>
  <c r="D7" i="2"/>
  <c r="I7" i="2" s="1"/>
  <c r="H7" i="2"/>
  <c r="V29" i="4" l="1"/>
  <c r="J33" i="4"/>
  <c r="J32" i="4"/>
  <c r="J35" i="4"/>
  <c r="J34" i="4"/>
  <c r="V14" i="4"/>
  <c r="J20" i="4"/>
  <c r="V16" i="4"/>
  <c r="V4" i="4"/>
  <c r="J22" i="4"/>
  <c r="V21" i="4"/>
  <c r="V23" i="4"/>
  <c r="V20" i="4"/>
  <c r="V22" i="4"/>
  <c r="J15" i="4"/>
  <c r="J17" i="4"/>
  <c r="J27" i="4"/>
  <c r="J29" i="4"/>
  <c r="V9" i="4"/>
  <c r="V11" i="4"/>
  <c r="V17" i="4"/>
  <c r="V8" i="4"/>
  <c r="V10" i="4"/>
  <c r="V2" i="4"/>
  <c r="V5" i="4"/>
  <c r="J26" i="4"/>
  <c r="J28" i="4"/>
  <c r="J23" i="4"/>
  <c r="J14" i="4"/>
  <c r="J16" i="4"/>
  <c r="J8" i="4"/>
  <c r="J11" i="4"/>
  <c r="J4" i="4"/>
  <c r="J3" i="4"/>
  <c r="J5" i="4"/>
  <c r="J2" i="4"/>
  <c r="J7" i="2"/>
  <c r="D4" i="2"/>
  <c r="I4" i="2" s="1"/>
  <c r="J4" i="2" s="1"/>
  <c r="H6" i="2"/>
  <c r="H4" i="2"/>
  <c r="C6" i="2"/>
  <c r="J6" i="2" s="1"/>
  <c r="H5" i="2"/>
  <c r="C5" i="2"/>
  <c r="J5" i="2" s="1"/>
  <c r="G7" i="2"/>
  <c r="G6" i="2"/>
  <c r="G5" i="2"/>
  <c r="G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<sst xmlns="http://schemas.openxmlformats.org/spreadsheetml/2006/main" count="1057" uniqueCount="345">
  <si>
    <t>cup</t>
  </si>
  <si>
    <t>tea</t>
  </si>
  <si>
    <t>cake</t>
  </si>
  <si>
    <t>owl</t>
  </si>
  <si>
    <t>glasses</t>
  </si>
  <si>
    <t>penguin</t>
  </si>
  <si>
    <t>orange juice</t>
  </si>
  <si>
    <t>carrot</t>
  </si>
  <si>
    <t>broccoli</t>
  </si>
  <si>
    <t>spaghetti</t>
  </si>
  <si>
    <t>van</t>
  </si>
  <si>
    <t>scooter</t>
  </si>
  <si>
    <t>bus</t>
  </si>
  <si>
    <t>truck</t>
  </si>
  <si>
    <t>swan</t>
  </si>
  <si>
    <t>cat</t>
  </si>
  <si>
    <t>dog</t>
  </si>
  <si>
    <t>castle</t>
  </si>
  <si>
    <t>flag</t>
  </si>
  <si>
    <t>princess</t>
  </si>
  <si>
    <t>fairy</t>
  </si>
  <si>
    <t>ball</t>
  </si>
  <si>
    <t>gloves</t>
  </si>
  <si>
    <t>scarf</t>
  </si>
  <si>
    <t>monkey</t>
  </si>
  <si>
    <t>sea</t>
  </si>
  <si>
    <t>boat</t>
  </si>
  <si>
    <t>ship</t>
  </si>
  <si>
    <t>island</t>
  </si>
  <si>
    <t>doll</t>
  </si>
  <si>
    <t>heart</t>
  </si>
  <si>
    <t>rabbit</t>
  </si>
  <si>
    <t>crown</t>
  </si>
  <si>
    <t>pear</t>
  </si>
  <si>
    <t>tomato</t>
  </si>
  <si>
    <t>apple</t>
  </si>
  <si>
    <t>tree</t>
  </si>
  <si>
    <t>train</t>
  </si>
  <si>
    <t>bridge</t>
  </si>
  <si>
    <t>plane</t>
  </si>
  <si>
    <t>spade</t>
  </si>
  <si>
    <t>horse</t>
  </si>
  <si>
    <t>snow man</t>
  </si>
  <si>
    <t>umbrella</t>
  </si>
  <si>
    <t>rain</t>
  </si>
  <si>
    <t>mole</t>
  </si>
  <si>
    <t>ladybird</t>
  </si>
  <si>
    <t>fly</t>
  </si>
  <si>
    <t>butterfly</t>
  </si>
  <si>
    <t>bed</t>
  </si>
  <si>
    <t>mouse</t>
  </si>
  <si>
    <t>sheep</t>
  </si>
  <si>
    <t>cow</t>
  </si>
  <si>
    <t>hair</t>
  </si>
  <si>
    <t>mermaid</t>
  </si>
  <si>
    <t>boot</t>
  </si>
  <si>
    <t>girl</t>
  </si>
  <si>
    <t>boy</t>
  </si>
  <si>
    <t>baby</t>
  </si>
  <si>
    <t>bouncy ball</t>
  </si>
  <si>
    <t>duck</t>
  </si>
  <si>
    <t>hat</t>
  </si>
  <si>
    <t>cloud</t>
  </si>
  <si>
    <t>turtle</t>
  </si>
  <si>
    <t>snake</t>
  </si>
  <si>
    <t>fox</t>
  </si>
  <si>
    <t>hedgehog</t>
  </si>
  <si>
    <t>piano</t>
  </si>
  <si>
    <t>bubbles</t>
  </si>
  <si>
    <t>rocket</t>
  </si>
  <si>
    <t>moon</t>
  </si>
  <si>
    <t>planet</t>
  </si>
  <si>
    <t>sweet</t>
  </si>
  <si>
    <t>teddy bear</t>
  </si>
  <si>
    <t>icecream</t>
  </si>
  <si>
    <t>pig</t>
  </si>
  <si>
    <t>flower</t>
  </si>
  <si>
    <t>spider</t>
  </si>
  <si>
    <t>ant</t>
  </si>
  <si>
    <t>worm</t>
  </si>
  <si>
    <t>Word</t>
  </si>
  <si>
    <t>Duplicate</t>
  </si>
  <si>
    <t>Point Drawing</t>
  </si>
  <si>
    <t>watermelon</t>
  </si>
  <si>
    <t>backpack</t>
  </si>
  <si>
    <t>Advanced</t>
  </si>
  <si>
    <t>toddler</t>
  </si>
  <si>
    <t>wind</t>
  </si>
  <si>
    <t>spring</t>
  </si>
  <si>
    <t>summer</t>
  </si>
  <si>
    <t>autumm</t>
  </si>
  <si>
    <t>winter</t>
  </si>
  <si>
    <t>storm</t>
  </si>
  <si>
    <t>composter</t>
  </si>
  <si>
    <t>bridge troll</t>
  </si>
  <si>
    <t>puppy</t>
  </si>
  <si>
    <t>Extra</t>
  </si>
  <si>
    <t>easter rabbit</t>
  </si>
  <si>
    <t>treasure island</t>
  </si>
  <si>
    <t>Columns</t>
  </si>
  <si>
    <t>Cards per col</t>
  </si>
  <si>
    <t>rainbow</t>
  </si>
  <si>
    <t>star</t>
  </si>
  <si>
    <t>treasure</t>
  </si>
  <si>
    <t>ant hill</t>
  </si>
  <si>
    <t>ballerina</t>
  </si>
  <si>
    <t>see-saw</t>
  </si>
  <si>
    <t>water slide</t>
  </si>
  <si>
    <t>spaceship</t>
  </si>
  <si>
    <t>sea turtle</t>
  </si>
  <si>
    <t>... of coffee</t>
  </si>
  <si>
    <t>Length</t>
  </si>
  <si>
    <t>sleeping</t>
  </si>
  <si>
    <t>snoring</t>
  </si>
  <si>
    <t>… station</t>
  </si>
  <si>
    <t>rocking horse</t>
  </si>
  <si>
    <t>sleeping beauty</t>
  </si>
  <si>
    <t>..godmother</t>
  </si>
  <si>
    <t>christmas</t>
  </si>
  <si>
    <t>shooting star</t>
  </si>
  <si>
    <t>computer</t>
  </si>
  <si>
    <t>ipad</t>
  </si>
  <si>
    <t>stickman house</t>
  </si>
  <si>
    <t>crescent moon</t>
  </si>
  <si>
    <t>... from a country</t>
  </si>
  <si>
    <t>peter rabbit</t>
  </si>
  <si>
    <t>Belle and the Beast</t>
  </si>
  <si>
    <t>saturn</t>
  </si>
  <si>
    <t>solar system</t>
  </si>
  <si>
    <t>BUTTON HERE (IF YOU OPEN IN THE APP)</t>
  </si>
  <si>
    <t/>
  </si>
  <si>
    <t>Worm</t>
  </si>
  <si>
    <t>Composter</t>
  </si>
  <si>
    <t>Sleeping</t>
  </si>
  <si>
    <t>Sleeping beauty</t>
  </si>
  <si>
    <t>Summer</t>
  </si>
  <si>
    <t>Castle</t>
  </si>
  <si>
    <t>Storm</t>
  </si>
  <si>
    <t>Wind</t>
  </si>
  <si>
    <t>Computer</t>
  </si>
  <si>
    <t>Ipad</t>
  </si>
  <si>
    <t>Autumm</t>
  </si>
  <si>
    <t>See-saw</t>
  </si>
  <si>
    <t>Water slide</t>
  </si>
  <si>
    <t>Hedgehog</t>
  </si>
  <si>
    <t>Solar system</t>
  </si>
  <si>
    <t>Snow man</t>
  </si>
  <si>
    <t>Fox</t>
  </si>
  <si>
    <t>Owl</t>
  </si>
  <si>
    <t>Mole</t>
  </si>
  <si>
    <t>Turtle</t>
  </si>
  <si>
    <t>Sea turtle</t>
  </si>
  <si>
    <t>Piano</t>
  </si>
  <si>
    <t>Easter rabbit</t>
  </si>
  <si>
    <t>Mermaid</t>
  </si>
  <si>
    <t>Winter</t>
  </si>
  <si>
    <t>Christmas</t>
  </si>
  <si>
    <t>Bed</t>
  </si>
  <si>
    <t>Ballerina</t>
  </si>
  <si>
    <t>Island</t>
  </si>
  <si>
    <t>Treasure island</t>
  </si>
  <si>
    <t>Mouse</t>
  </si>
  <si>
    <t>Doll</t>
  </si>
  <si>
    <t>Bouncy ball</t>
  </si>
  <si>
    <t>Fly</t>
  </si>
  <si>
    <t>Snoring</t>
  </si>
  <si>
    <t>Cup</t>
  </si>
  <si>
    <t>Monkey</t>
  </si>
  <si>
    <t>Watermelon</t>
  </si>
  <si>
    <t>Rainbow</t>
  </si>
  <si>
    <t>Boot</t>
  </si>
  <si>
    <t>Penguin</t>
  </si>
  <si>
    <t>Sea</t>
  </si>
  <si>
    <t>Bridge</t>
  </si>
  <si>
    <t>Bridge troll</t>
  </si>
  <si>
    <t>Backpack</t>
  </si>
  <si>
    <t>Broccoli</t>
  </si>
  <si>
    <t>Sweet</t>
  </si>
  <si>
    <t>Girl</t>
  </si>
  <si>
    <t>Swan</t>
  </si>
  <si>
    <t>Spider</t>
  </si>
  <si>
    <t>Teddy bear</t>
  </si>
  <si>
    <t>Rocket</t>
  </si>
  <si>
    <t>Spaceship</t>
  </si>
  <si>
    <t>Spring</t>
  </si>
  <si>
    <t>Cake</t>
  </si>
  <si>
    <t>Orange juice</t>
  </si>
  <si>
    <t>Flower</t>
  </si>
  <si>
    <t>Treasure</t>
  </si>
  <si>
    <t>Icecream</t>
  </si>
  <si>
    <t>Boy</t>
  </si>
  <si>
    <t>Pig</t>
  </si>
  <si>
    <t>Ladybird</t>
  </si>
  <si>
    <t>Ship</t>
  </si>
  <si>
    <t>Horse</t>
  </si>
  <si>
    <t>Rocking horse</t>
  </si>
  <si>
    <t>Truck</t>
  </si>
  <si>
    <t>Boat</t>
  </si>
  <si>
    <t>Scarf</t>
  </si>
  <si>
    <t xml:space="preserve"> +1</t>
  </si>
  <si>
    <t>slide</t>
  </si>
  <si>
    <t>waves</t>
  </si>
  <si>
    <t>… with ribbons</t>
  </si>
  <si>
    <t>bike</t>
  </si>
  <si>
    <t>cycling fast</t>
  </si>
  <si>
    <t>car</t>
  </si>
  <si>
    <t>racing car</t>
  </si>
  <si>
    <t>Gloves</t>
  </si>
  <si>
    <t>Ball</t>
  </si>
  <si>
    <t>Sheep</t>
  </si>
  <si>
    <t>Cloud</t>
  </si>
  <si>
    <t>Plane</t>
  </si>
  <si>
    <t>Carrot</t>
  </si>
  <si>
    <t>Waves</t>
  </si>
  <si>
    <t>Slide</t>
  </si>
  <si>
    <t>Scooter</t>
  </si>
  <si>
    <t>Baby</t>
  </si>
  <si>
    <t>Toddler</t>
  </si>
  <si>
    <t>Fairy</t>
  </si>
  <si>
    <t>Spaghetti</t>
  </si>
  <si>
    <t>Tomato</t>
  </si>
  <si>
    <t>Hair</t>
  </si>
  <si>
    <t>pirate ship</t>
  </si>
  <si>
    <t>the Queen</t>
  </si>
  <si>
    <t>Points</t>
  </si>
  <si>
    <t>Words</t>
  </si>
  <si>
    <t>Extra Points</t>
  </si>
  <si>
    <t>Extra word</t>
  </si>
  <si>
    <t>tiger</t>
  </si>
  <si>
    <t>zebra</t>
  </si>
  <si>
    <t>lion</t>
  </si>
  <si>
    <t>seagull</t>
  </si>
  <si>
    <t>caterpillar</t>
  </si>
  <si>
    <t>candle</t>
  </si>
  <si>
    <t>shed</t>
  </si>
  <si>
    <t>dolphin</t>
  </si>
  <si>
    <t>whale</t>
  </si>
  <si>
    <t>snail</t>
  </si>
  <si>
    <t>gruffalo</t>
  </si>
  <si>
    <t>firetruck rescue kitty</t>
  </si>
  <si>
    <t>Caterpillar</t>
  </si>
  <si>
    <t>Dolphin</t>
  </si>
  <si>
    <t>Tiger</t>
  </si>
  <si>
    <t>Shed</t>
  </si>
  <si>
    <t>Dog</t>
  </si>
  <si>
    <t>Puppy</t>
  </si>
  <si>
    <t>Gruffalo</t>
  </si>
  <si>
    <t>Candle</t>
  </si>
  <si>
    <t>Lion</t>
  </si>
  <si>
    <t>Van</t>
  </si>
  <si>
    <t>Seagull</t>
  </si>
  <si>
    <t>Snail</t>
  </si>
  <si>
    <t>Peppa pig</t>
  </si>
  <si>
    <t>Whale</t>
  </si>
  <si>
    <t>Zebra</t>
  </si>
  <si>
    <t>Firetruck rescue kitty</t>
  </si>
  <si>
    <t>+2</t>
  </si>
  <si>
    <t>Princess</t>
  </si>
  <si>
    <t>Pirate ship</t>
  </si>
  <si>
    <t>Umbrella</t>
  </si>
  <si>
    <t>Ice-cream van</t>
  </si>
  <si>
    <t>key</t>
  </si>
  <si>
    <t>nose</t>
  </si>
  <si>
    <t>mouth</t>
  </si>
  <si>
    <t>eye</t>
  </si>
  <si>
    <t>ears</t>
  </si>
  <si>
    <t>hand</t>
  </si>
  <si>
    <t>Key</t>
  </si>
  <si>
    <t>Butterfly</t>
  </si>
  <si>
    <t>Mouth</t>
  </si>
  <si>
    <t>Nose</t>
  </si>
  <si>
    <t>Duck</t>
  </si>
  <si>
    <t>Extra points:</t>
  </si>
  <si>
    <t>tent</t>
  </si>
  <si>
    <t>Pear</t>
  </si>
  <si>
    <t>Tent</t>
  </si>
  <si>
    <t>Cat</t>
  </si>
  <si>
    <t>Planet</t>
  </si>
  <si>
    <t>Saturn</t>
  </si>
  <si>
    <t>Star</t>
  </si>
  <si>
    <t>Shooting star</t>
  </si>
  <si>
    <t>Apple</t>
  </si>
  <si>
    <t>king</t>
  </si>
  <si>
    <t>clock</t>
  </si>
  <si>
    <t>sword</t>
  </si>
  <si>
    <t>wand</t>
  </si>
  <si>
    <t>water</t>
  </si>
  <si>
    <t>house</t>
  </si>
  <si>
    <t>window</t>
  </si>
  <si>
    <t>door</t>
  </si>
  <si>
    <t>frog</t>
  </si>
  <si>
    <t>school</t>
  </si>
  <si>
    <t>banana</t>
  </si>
  <si>
    <t>apple juice</t>
  </si>
  <si>
    <t>bowling ball</t>
  </si>
  <si>
    <t>bunker bed</t>
  </si>
  <si>
    <t>canoe</t>
  </si>
  <si>
    <t>Peter Pan</t>
  </si>
  <si>
    <t>cupcake</t>
  </si>
  <si>
    <t>Sunday roast</t>
  </si>
  <si>
    <t>hospital</t>
  </si>
  <si>
    <t>ambulance</t>
  </si>
  <si>
    <t>cello tape</t>
  </si>
  <si>
    <t>scissors</t>
  </si>
  <si>
    <t>piggy bank</t>
  </si>
  <si>
    <t>rock</t>
  </si>
  <si>
    <t>dandelion</t>
  </si>
  <si>
    <t>swings</t>
  </si>
  <si>
    <t>playground</t>
  </si>
  <si>
    <t>big ben</t>
  </si>
  <si>
    <t>london eye</t>
  </si>
  <si>
    <t>zoo</t>
  </si>
  <si>
    <t>sun</t>
  </si>
  <si>
    <t>book</t>
  </si>
  <si>
    <t>fly and poo</t>
  </si>
  <si>
    <t>magician hat</t>
  </si>
  <si>
    <t>lamb</t>
  </si>
  <si>
    <t>birthday</t>
  </si>
  <si>
    <t>knight</t>
  </si>
  <si>
    <t>dragon</t>
  </si>
  <si>
    <t>father christmas</t>
  </si>
  <si>
    <t>tiger came to tea</t>
  </si>
  <si>
    <t>doll house</t>
  </si>
  <si>
    <t>wolf</t>
  </si>
  <si>
    <t>and red riding hood</t>
  </si>
  <si>
    <t>sea lion</t>
  </si>
  <si>
    <t>pencil</t>
  </si>
  <si>
    <t>alien</t>
  </si>
  <si>
    <t>giant</t>
  </si>
  <si>
    <t>mountain</t>
  </si>
  <si>
    <t>volcano</t>
  </si>
  <si>
    <t>beach</t>
  </si>
  <si>
    <t>farm</t>
  </si>
  <si>
    <t>hen</t>
  </si>
  <si>
    <t>chicken</t>
  </si>
  <si>
    <t>egg</t>
  </si>
  <si>
    <t>dinosaur</t>
  </si>
  <si>
    <t>fork</t>
  </si>
  <si>
    <t>knife</t>
  </si>
  <si>
    <t>spoon</t>
  </si>
  <si>
    <t>fire</t>
  </si>
  <si>
    <t>magic</t>
  </si>
  <si>
    <t>ice</t>
  </si>
  <si>
    <t>bus stop</t>
  </si>
  <si>
    <t>fairy godmother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</si>
</sst>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11"/>
      <color theme="1"/>
      <name val="Pws"/>
    </font>
    <font>
      <sz val="11"/>
      <color theme="1"/>
      <name val="Sch"/>
    </font>
    <font>
      <sz val="28"/>
      <color theme="1"/>
      <name val="Letters for Learners"/>
    </font>
    <font>
      <sz val="11"/>
      <color rgb="FF000000"/>
      <name val="Calibri"/>
      <family val="2"/>
    </font>
    <font>
      <b/>
      <sz val="28"/>
      <color theme="1"/>
      <name val="Letters for Learners"/>
    </font>
    <font>
      <sz val="24"/>
      <color theme="1"/>
      <name val="Letters for Learners"/>
    </font>
    <font>
      <sz val="24"/>
      <color theme="1"/>
      <name val="Calibri"/>
      <family val="2"/>
      <scheme val="minor"/>
    </font>
    <font>
      <sz val="24"/>
      <color theme="1"/>
      <name val="PWSchoolScript"/>
      <family val="4"/>
    </font>
    <font>
      <b/>
      <sz val="11"/>
      <color theme="1"/>
      <name val="Calibri"/>
      <family val="2"/>
      <scheme val="minor"/>
    </font>
    <font>
      <sz val="11"/>
      <color theme="1"/>
      <name val="Letters for Learners"/>
    </font>
    <font>
      <b/>
      <sz val="24"/>
      <color theme="1"/>
      <name val="Letters for Learners"/>
    </font>
    <font>
      <sz val="28"/>
      <color theme="1"/>
      <name val="PWSchoolScript"/>
      <family val="4"/>
    </font>
    <font>
      <sz val="2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6"/>
      <color theme="1"/>
      <name val="Letters for Learners"/>
    </font>
    <font>
      <sz val="26"/>
      <color theme="1"/>
      <name val="PWSchoolScript"/>
      <family val="4"/>
    </font>
    <font>
      <sz val="2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0" fillId="2" borderId="1" xfId="0" applyFont="1" applyFill="1" applyBorder="1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center"/>
    </xf>
    <xf numFmtId="0" fontId="0" fillId="0" borderId="2" xfId="0" applyBorder="1"/>
    <xf numFmtId="0" fontId="3" fillId="0" borderId="3" xfId="0" applyFont="1" applyBorder="1"/>
    <xf numFmtId="0" fontId="0" fillId="0" borderId="4" xfId="0" applyBorder="1"/>
    <xf numFmtId="0" fontId="0" fillId="0" borderId="5" xfId="0" applyBorder="1" applyAlignment="1">
      <alignment vertical="center"/>
    </xf>
    <xf numFmtId="0" fontId="3" fillId="0" borderId="0" xfId="0" applyFont="1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/>
    <xf numFmtId="0" fontId="0" fillId="0" borderId="9" xfId="0" applyBorder="1"/>
    <xf numFmtId="0" fontId="0" fillId="0" borderId="0" xfId="0" applyBorder="1" applyAlignment="1">
      <alignment vertical="center"/>
    </xf>
    <xf numFmtId="0" fontId="0" fillId="0" borderId="0" xfId="0" applyBorder="1"/>
    <xf numFmtId="0" fontId="3" fillId="0" borderId="0" xfId="0" applyFont="1" applyAlignment="1">
      <alignment horizontal="left"/>
    </xf>
    <xf numFmtId="0" fontId="3" fillId="0" borderId="3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0" fillId="3" borderId="0" xfId="0" applyFill="1"/>
    <xf numFmtId="0" fontId="5" fillId="0" borderId="3" xfId="0" quotePrefix="1" applyFont="1" applyBorder="1"/>
    <xf numFmtId="0" fontId="6" fillId="0" borderId="0" xfId="0" applyFont="1" applyBorder="1" applyAlignment="1">
      <alignment vertical="center"/>
    </xf>
    <xf numFmtId="0" fontId="7" fillId="0" borderId="8" xfId="0" applyFont="1" applyBorder="1" applyAlignment="1">
      <alignment horizontal="left"/>
    </xf>
    <xf numFmtId="0" fontId="8" fillId="0" borderId="8" xfId="0" applyFont="1" applyBorder="1"/>
    <xf numFmtId="49" fontId="6" fillId="0" borderId="0" xfId="0" applyNumberFormat="1" applyFont="1" applyBorder="1" applyAlignment="1">
      <alignment horizontal="left" vertical="center"/>
    </xf>
    <xf numFmtId="0" fontId="0" fillId="0" borderId="0" xfId="0" applyFont="1"/>
    <xf numFmtId="0" fontId="0" fillId="0" borderId="0" xfId="0" applyFont="1" applyAlignment="1">
      <alignment vertical="center"/>
    </xf>
    <xf numFmtId="0" fontId="10" fillId="0" borderId="0" xfId="0" applyFont="1" applyBorder="1" applyAlignment="1">
      <alignment horizontal="left" vertical="center"/>
    </xf>
    <xf numFmtId="0" fontId="0" fillId="0" borderId="13" xfId="0" applyFont="1" applyBorder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14" xfId="0" applyFont="1" applyBorder="1" applyAlignment="1">
      <alignment vertical="center"/>
    </xf>
    <xf numFmtId="0" fontId="0" fillId="0" borderId="15" xfId="0" applyFont="1" applyBorder="1" applyAlignment="1">
      <alignment vertical="center"/>
    </xf>
    <xf numFmtId="0" fontId="0" fillId="0" borderId="16" xfId="0" applyFont="1" applyBorder="1" applyAlignment="1">
      <alignment vertical="center"/>
    </xf>
    <xf numFmtId="0" fontId="10" fillId="0" borderId="16" xfId="0" applyFont="1" applyBorder="1" applyAlignment="1">
      <alignment horizontal="left" vertical="center"/>
    </xf>
    <xf numFmtId="0" fontId="0" fillId="0" borderId="17" xfId="0" applyFont="1" applyBorder="1" applyAlignment="1">
      <alignment vertical="center"/>
    </xf>
    <xf numFmtId="0" fontId="9" fillId="0" borderId="10" xfId="0" applyFont="1" applyBorder="1"/>
    <xf numFmtId="0" fontId="9" fillId="0" borderId="11" xfId="0" applyFont="1" applyBorder="1"/>
    <xf numFmtId="0" fontId="9" fillId="0" borderId="12" xfId="0" applyFont="1" applyBorder="1"/>
    <xf numFmtId="0" fontId="6" fillId="0" borderId="3" xfId="0" applyFont="1" applyBorder="1" applyAlignment="1">
      <alignment horizontal="left"/>
    </xf>
    <xf numFmtId="0" fontId="11" fillId="0" borderId="3" xfId="0" quotePrefix="1" applyFont="1" applyBorder="1"/>
    <xf numFmtId="0" fontId="7" fillId="0" borderId="0" xfId="0" applyFont="1"/>
    <xf numFmtId="0" fontId="12" fillId="0" borderId="8" xfId="0" applyFont="1" applyBorder="1"/>
    <xf numFmtId="0" fontId="13" fillId="0" borderId="0" xfId="0" applyFont="1"/>
    <xf numFmtId="49" fontId="3" fillId="0" borderId="0" xfId="0" applyNumberFormat="1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0" fillId="0" borderId="10" xfId="0" applyFont="1" applyBorder="1" applyAlignment="1">
      <alignment vertical="center"/>
    </xf>
    <xf numFmtId="0" fontId="0" fillId="0" borderId="11" xfId="0" applyFont="1" applyBorder="1" applyAlignment="1">
      <alignment vertical="center"/>
    </xf>
    <xf numFmtId="0" fontId="10" fillId="0" borderId="11" xfId="0" applyFont="1" applyBorder="1" applyAlignment="1">
      <alignment horizontal="left" vertical="center"/>
    </xf>
    <xf numFmtId="0" fontId="0" fillId="0" borderId="12" xfId="0" applyFont="1" applyBorder="1" applyAlignment="1">
      <alignment vertical="center"/>
    </xf>
    <xf numFmtId="1" fontId="6" fillId="0" borderId="0" xfId="0" applyNumberFormat="1" applyFont="1" applyBorder="1" applyAlignment="1">
      <alignment horizontal="left" vertical="center"/>
    </xf>
    <xf numFmtId="0" fontId="13" fillId="0" borderId="2" xfId="0" applyFont="1" applyBorder="1"/>
    <xf numFmtId="0" fontId="13" fillId="0" borderId="4" xfId="0" applyFont="1" applyBorder="1"/>
    <xf numFmtId="0" fontId="14" fillId="0" borderId="10" xfId="0" applyFont="1" applyBorder="1"/>
    <xf numFmtId="0" fontId="14" fillId="0" borderId="11" xfId="0" applyFont="1" applyBorder="1"/>
    <xf numFmtId="0" fontId="14" fillId="0" borderId="12" xfId="0" applyFont="1" applyBorder="1"/>
    <xf numFmtId="0" fontId="13" fillId="0" borderId="5" xfId="0" applyFont="1" applyBorder="1" applyAlignment="1">
      <alignment vertical="center"/>
    </xf>
    <xf numFmtId="0" fontId="13" fillId="0" borderId="6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13" fillId="0" borderId="11" xfId="0" applyFont="1" applyBorder="1" applyAlignment="1">
      <alignment vertical="center"/>
    </xf>
    <xf numFmtId="0" fontId="3" fillId="0" borderId="11" xfId="0" applyFont="1" applyBorder="1" applyAlignment="1">
      <alignment horizontal="left" vertical="center"/>
    </xf>
    <xf numFmtId="0" fontId="13" fillId="0" borderId="12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13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13" fillId="0" borderId="14" xfId="0" applyFont="1" applyBorder="1" applyAlignment="1">
      <alignment vertical="center"/>
    </xf>
    <xf numFmtId="0" fontId="13" fillId="0" borderId="15" xfId="0" applyFont="1" applyBorder="1" applyAlignment="1">
      <alignment vertical="center"/>
    </xf>
    <xf numFmtId="0" fontId="13" fillId="0" borderId="16" xfId="0" applyFont="1" applyBorder="1" applyAlignment="1">
      <alignment vertical="center"/>
    </xf>
    <xf numFmtId="0" fontId="3" fillId="0" borderId="16" xfId="0" applyFont="1" applyBorder="1" applyAlignment="1">
      <alignment horizontal="left" vertical="center"/>
    </xf>
    <xf numFmtId="0" fontId="13" fillId="0" borderId="17" xfId="0" applyFont="1" applyBorder="1" applyAlignment="1">
      <alignment vertical="center"/>
    </xf>
    <xf numFmtId="0" fontId="13" fillId="0" borderId="7" xfId="0" applyFont="1" applyBorder="1"/>
    <xf numFmtId="0" fontId="13" fillId="0" borderId="9" xfId="0" applyFont="1" applyBorder="1"/>
    <xf numFmtId="0" fontId="15" fillId="0" borderId="3" xfId="0" applyFont="1" applyBorder="1"/>
    <xf numFmtId="0" fontId="15" fillId="0" borderId="0" xfId="0" applyFont="1" applyBorder="1" applyAlignment="1">
      <alignment vertical="center"/>
    </xf>
    <xf numFmtId="0" fontId="16" fillId="0" borderId="8" xfId="0" applyFont="1" applyBorder="1"/>
    <xf numFmtId="0" fontId="17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133350</xdr:rowOff>
        </xdr:from>
        <xdr:to>
          <xdr:col>4</xdr:col>
          <xdr:colOff>123825</xdr:colOff>
          <xdr:row>15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7D513-E831-48B3-AFDC-85D54347B7A1}">
  <sheetPr codeName="Sheet1"/>
  <dimension ref="A1:O164"/>
  <sheetViews>
    <sheetView topLeftCell="A133" zoomScale="115" zoomScaleNormal="115" workbookViewId="0">
      <selection activeCell="C148" sqref="C148"/>
    </sheetView>
  </sheetViews>
  <sheetFormatPr defaultRowHeight="15"/>
  <cols>
    <col min="1" max="1" width="19.42578125" style="26" customWidth="1"/>
    <col min="2" max="2" width="10.28515625" style="26" customWidth="1"/>
    <col min="3" max="3" width="20.85546875" style="26" customWidth="1"/>
    <col min="4" max="5" width="17" style="26" customWidth="1"/>
    <col min="6" max="8" width="9.140625" style="26"/>
    <col min="9" max="9" width="17.85546875" style="26" customWidth="1"/>
    <col min="10" max="10" width="9.140625" style="26"/>
    <col min="11" max="11" width="17.85546875" style="26" customWidth="1"/>
    <col min="12" max="12" width="9.140625" style="26"/>
    <col min="13" max="13" width="17.85546875" style="26" customWidth="1"/>
    <col min="14" max="14" width="9.140625" style="26"/>
    <col min="15" max="15" width="17.85546875" style="26" customWidth="1"/>
    <col min="16" max="16384" width="9.140625" style="26"/>
  </cols>
  <sheetData>
    <row r="1" spans="1:15">
      <c r="A1" s="26" t="s">
        <v>80</v>
      </c>
      <c r="B1" s="26" t="s">
        <v>82</v>
      </c>
      <c r="C1" s="26" t="s">
        <v>85</v>
      </c>
      <c r="D1" s="26" t="s">
        <v>96</v>
      </c>
      <c r="E1" s="26" t="s">
        <v>111</v>
      </c>
      <c r="F1" s="26" t="s">
        <v>81</v>
      </c>
      <c r="H1" s="26">
        <v>1</v>
      </c>
      <c r="I1" s="1" t="str" cm="1">
        <f t="array" aca="1" ref="I1:I48" ca="1">_xlfn._xlws.FILTER(wordlist,OFFSET(wordlist,0,1)=H$1,"No Results")</f>
        <v>ant</v>
      </c>
      <c r="J1" s="26">
        <v>2</v>
      </c>
      <c r="K1" s="1" t="str" cm="1">
        <f t="array" aca="1" ref="K1:K48" ca="1">_xlfn._xlws.FILTER(wordlist,OFFSET(wordlist,0,1)=J$1,"No Results")</f>
        <v>banana</v>
      </c>
      <c r="L1" s="26">
        <v>3</v>
      </c>
      <c r="M1" s="1" t="str" cm="1">
        <f t="array" aca="1" ref="M1:M33" ca="1">_xlfn._xlws.FILTER(wordlist,OFFSET(wordlist,0,1)=L$1,"No Results")</f>
        <v>ballerina</v>
      </c>
      <c r="N1" s="26">
        <v>4</v>
      </c>
      <c r="O1" s="1" t="str" cm="1">
        <f t="array" aca="1" ref="O1:O34" ca="1">_xlfn._xlws.FILTER(wordlist,OFFSET(wordlist,0,1)=N$1,"No Results")</f>
        <v>ambulance</v>
      </c>
    </row>
    <row r="2" spans="1:15">
      <c r="A2" s="26" t="s">
        <v>301</v>
      </c>
      <c r="B2" s="26">
        <v>4</v>
      </c>
      <c r="E2" s="26">
        <f t="shared" ref="E2:E33" si="0">LEN(A2)</f>
        <v>9</v>
      </c>
      <c r="F2" s="26" t="str">
        <f t="shared" ref="F2:F33" si="1">IF(OR((COUNTIF(A:A,C2)+COUNTIF(C:C,C2))&gt;1, (COUNTIF(A:A,A2)+COUNTIF(C:C,A2))&gt;1),"DUPLICATE","OK")</f>
        <v>OK</v>
      </c>
      <c r="I2" s="26" t="str">
        <f ca="1"/>
        <v>apple</v>
      </c>
      <c r="K2" s="26" t="str">
        <f ca="1"/>
        <v>bike</v>
      </c>
      <c r="M2" s="26" t="str">
        <f ca="1"/>
        <v>book</v>
      </c>
      <c r="O2" s="26" t="str">
        <f ca="1"/>
        <v>autumm</v>
      </c>
    </row>
    <row r="3" spans="1:15">
      <c r="A3" s="26" t="s">
        <v>78</v>
      </c>
      <c r="B3" s="26">
        <v>1</v>
      </c>
      <c r="C3" s="26" t="s">
        <v>104</v>
      </c>
      <c r="E3" s="26">
        <f t="shared" si="0"/>
        <v>3</v>
      </c>
      <c r="F3" s="26" t="str">
        <f t="shared" si="1"/>
        <v>OK</v>
      </c>
      <c r="I3" s="26" t="str">
        <f ca="1"/>
        <v>baby</v>
      </c>
      <c r="K3" s="26" t="str">
        <f ca="1"/>
        <v>broccoli</v>
      </c>
      <c r="M3" s="26" t="str">
        <f ca="1"/>
        <v>bridge</v>
      </c>
      <c r="O3" s="26" t="str">
        <f ca="1"/>
        <v>backpack</v>
      </c>
    </row>
    <row r="4" spans="1:15">
      <c r="A4" s="26" t="s">
        <v>35</v>
      </c>
      <c r="B4" s="26">
        <v>1</v>
      </c>
      <c r="C4" s="26" t="s">
        <v>293</v>
      </c>
      <c r="E4" s="26">
        <f t="shared" si="0"/>
        <v>5</v>
      </c>
      <c r="F4" s="26" t="str">
        <f t="shared" si="1"/>
        <v>OK</v>
      </c>
      <c r="I4" s="26" t="str">
        <f ca="1"/>
        <v>ball</v>
      </c>
      <c r="K4" s="26" t="str">
        <f ca="1"/>
        <v>bubbles</v>
      </c>
      <c r="M4" s="26" t="str">
        <f ca="1"/>
        <v>caterpillar</v>
      </c>
      <c r="O4" s="26" t="str">
        <f ca="1"/>
        <v>big ben</v>
      </c>
    </row>
    <row r="5" spans="1:15">
      <c r="A5" s="26" t="s">
        <v>90</v>
      </c>
      <c r="B5" s="26">
        <v>4</v>
      </c>
      <c r="E5" s="26">
        <f t="shared" si="0"/>
        <v>6</v>
      </c>
      <c r="F5" s="26" t="str">
        <f t="shared" si="1"/>
        <v>OK</v>
      </c>
      <c r="I5" s="26" t="str">
        <f ca="1"/>
        <v>bed</v>
      </c>
      <c r="K5" s="26" t="str">
        <f ca="1"/>
        <v>candle</v>
      </c>
      <c r="M5" s="26" t="str">
        <f ca="1"/>
        <v>dolphin</v>
      </c>
      <c r="O5" s="26" t="str">
        <f ca="1"/>
        <v>bouncy ball</v>
      </c>
    </row>
    <row r="6" spans="1:15">
      <c r="A6" s="26" t="s">
        <v>58</v>
      </c>
      <c r="B6" s="26">
        <v>1</v>
      </c>
      <c r="C6" s="26" t="s">
        <v>86</v>
      </c>
      <c r="E6" s="26">
        <f t="shared" si="0"/>
        <v>4</v>
      </c>
      <c r="F6" s="26" t="str">
        <f t="shared" si="1"/>
        <v>OK</v>
      </c>
      <c r="I6" s="26" t="str">
        <f ca="1"/>
        <v>boat</v>
      </c>
      <c r="K6" s="26" t="str">
        <f ca="1"/>
        <v>castle</v>
      </c>
      <c r="M6" s="26" t="str">
        <f ca="1"/>
        <v>easter rabbit</v>
      </c>
      <c r="O6" s="26" t="str">
        <f ca="1"/>
        <v>cello tape</v>
      </c>
    </row>
    <row r="7" spans="1:15">
      <c r="A7" s="26" t="s">
        <v>84</v>
      </c>
      <c r="B7" s="26">
        <v>4</v>
      </c>
      <c r="E7" s="26">
        <f t="shared" si="0"/>
        <v>8</v>
      </c>
      <c r="F7" s="26" t="str">
        <f t="shared" si="1"/>
        <v>OK</v>
      </c>
      <c r="I7" s="26" t="str">
        <f ca="1"/>
        <v>boot</v>
      </c>
      <c r="K7" s="26" t="str">
        <f ca="1"/>
        <v>clock</v>
      </c>
      <c r="M7" s="26" t="str">
        <f ca="1"/>
        <v>hedgehog</v>
      </c>
      <c r="O7" s="26" t="str">
        <f ca="1"/>
        <v>computer</v>
      </c>
    </row>
    <row r="8" spans="1:15">
      <c r="A8" s="26" t="s">
        <v>21</v>
      </c>
      <c r="B8" s="26">
        <v>1</v>
      </c>
      <c r="C8" s="26" t="s">
        <v>294</v>
      </c>
      <c r="E8" s="26">
        <f t="shared" si="0"/>
        <v>4</v>
      </c>
      <c r="F8" s="26" t="str">
        <f t="shared" si="1"/>
        <v>OK</v>
      </c>
      <c r="I8" s="26" t="str">
        <f ca="1"/>
        <v>boy</v>
      </c>
      <c r="K8" s="26" t="str">
        <f ca="1"/>
        <v>doll</v>
      </c>
      <c r="M8" s="26" t="str">
        <f ca="1"/>
        <v>horse</v>
      </c>
      <c r="O8" s="26" t="str">
        <f ca="1"/>
        <v>dandelion</v>
      </c>
    </row>
    <row r="9" spans="1:15">
      <c r="A9" s="26" t="s">
        <v>105</v>
      </c>
      <c r="B9" s="26">
        <v>3</v>
      </c>
      <c r="E9" s="26">
        <f t="shared" si="0"/>
        <v>9</v>
      </c>
      <c r="F9" s="26" t="str">
        <f t="shared" si="1"/>
        <v>OK</v>
      </c>
      <c r="I9" s="26" t="str">
        <f ca="1"/>
        <v>bus</v>
      </c>
      <c r="K9" s="26" t="str">
        <f ca="1"/>
        <v>door</v>
      </c>
      <c r="M9" s="26" t="str">
        <f ca="1"/>
        <v>king</v>
      </c>
      <c r="O9" s="26" t="str">
        <f ca="1"/>
        <v>dragon</v>
      </c>
    </row>
    <row r="10" spans="1:15">
      <c r="A10" s="26" t="s">
        <v>292</v>
      </c>
      <c r="B10" s="26">
        <v>2</v>
      </c>
      <c r="E10" s="26">
        <f t="shared" si="0"/>
        <v>6</v>
      </c>
      <c r="F10" s="26" t="str">
        <f t="shared" si="1"/>
        <v>OK</v>
      </c>
      <c r="I10" s="26" t="str">
        <f ca="1"/>
        <v>butterfly</v>
      </c>
      <c r="K10" s="26" t="str">
        <f ca="1"/>
        <v>ears</v>
      </c>
      <c r="M10" s="26" t="str">
        <f ca="1"/>
        <v>pencil</v>
      </c>
      <c r="O10" s="26" t="str">
        <f ca="1"/>
        <v>father christmas</v>
      </c>
    </row>
    <row r="11" spans="1:15">
      <c r="A11" s="26" t="s">
        <v>49</v>
      </c>
      <c r="B11" s="26">
        <v>1</v>
      </c>
      <c r="C11" s="26" t="s">
        <v>295</v>
      </c>
      <c r="D11" s="26">
        <v>2</v>
      </c>
      <c r="E11" s="26">
        <f t="shared" si="0"/>
        <v>3</v>
      </c>
      <c r="F11" s="26" t="str">
        <f t="shared" si="1"/>
        <v>OK</v>
      </c>
      <c r="I11" s="26" t="str">
        <f ca="1"/>
        <v>cake</v>
      </c>
      <c r="K11" s="26" t="str">
        <f ca="1"/>
        <v>eye</v>
      </c>
      <c r="M11" s="26" t="str">
        <f ca="1"/>
        <v>mermaid</v>
      </c>
      <c r="O11" s="26" t="str">
        <f ca="1"/>
        <v>frog</v>
      </c>
    </row>
    <row r="12" spans="1:15">
      <c r="A12" s="26" t="s">
        <v>309</v>
      </c>
      <c r="B12" s="26">
        <v>4</v>
      </c>
      <c r="E12" s="26">
        <f t="shared" si="0"/>
        <v>7</v>
      </c>
      <c r="F12" s="26" t="str">
        <f t="shared" si="1"/>
        <v>OK</v>
      </c>
      <c r="I12" s="26" t="str">
        <f ca="1"/>
        <v>car</v>
      </c>
      <c r="K12" s="26" t="str">
        <f ca="1"/>
        <v>fairy</v>
      </c>
      <c r="M12" s="26" t="str">
        <f ca="1"/>
        <v>mouse</v>
      </c>
      <c r="O12" s="26" t="str">
        <f ca="1"/>
        <v>gruffalo</v>
      </c>
    </row>
    <row r="13" spans="1:15">
      <c r="A13" s="26" t="s">
        <v>203</v>
      </c>
      <c r="B13" s="26">
        <v>2</v>
      </c>
      <c r="C13" s="26" t="s">
        <v>204</v>
      </c>
      <c r="E13" s="26">
        <f t="shared" si="0"/>
        <v>4</v>
      </c>
      <c r="F13" s="26" t="str">
        <f t="shared" si="1"/>
        <v>OK</v>
      </c>
      <c r="I13" s="26" t="str">
        <f ca="1"/>
        <v>carrot</v>
      </c>
      <c r="K13" s="26" t="str">
        <f ca="1"/>
        <v>fox</v>
      </c>
      <c r="M13" s="26" t="str">
        <f ca="1"/>
        <v>rock</v>
      </c>
      <c r="O13" s="26" t="str">
        <f ca="1"/>
        <v>hospital</v>
      </c>
    </row>
    <row r="14" spans="1:15">
      <c r="A14" s="26" t="s">
        <v>26</v>
      </c>
      <c r="B14" s="26">
        <v>1</v>
      </c>
      <c r="C14" s="26" t="s">
        <v>296</v>
      </c>
      <c r="E14" s="26">
        <f t="shared" si="0"/>
        <v>4</v>
      </c>
      <c r="F14" s="26" t="str">
        <f t="shared" si="1"/>
        <v>OK</v>
      </c>
      <c r="I14" s="26" t="str">
        <f ca="1"/>
        <v>cat</v>
      </c>
      <c r="K14" s="26" t="str">
        <f ca="1"/>
        <v>glasses</v>
      </c>
      <c r="M14" s="26" t="str">
        <f ca="1"/>
        <v>seagull</v>
      </c>
      <c r="O14" s="26" t="str">
        <f ca="1"/>
        <v>london eye</v>
      </c>
    </row>
    <row r="15" spans="1:15">
      <c r="A15" s="26" t="s">
        <v>313</v>
      </c>
      <c r="B15" s="26">
        <v>3</v>
      </c>
      <c r="E15" s="26">
        <f t="shared" si="0"/>
        <v>4</v>
      </c>
      <c r="F15" s="26" t="str">
        <f t="shared" si="1"/>
        <v>OK</v>
      </c>
      <c r="I15" s="26" t="str">
        <f ca="1"/>
        <v>cloud</v>
      </c>
      <c r="K15" s="26" t="str">
        <f ca="1"/>
        <v>gloves</v>
      </c>
      <c r="M15" s="26" t="str">
        <f ca="1"/>
        <v>see-saw</v>
      </c>
      <c r="O15" s="26" t="str">
        <f ca="1"/>
        <v>mole</v>
      </c>
    </row>
    <row r="16" spans="1:15">
      <c r="A16" s="26" t="s">
        <v>55</v>
      </c>
      <c r="B16" s="26">
        <v>1</v>
      </c>
      <c r="E16" s="26">
        <f t="shared" si="0"/>
        <v>4</v>
      </c>
      <c r="F16" s="26" t="str">
        <f t="shared" si="1"/>
        <v>OK</v>
      </c>
      <c r="I16" s="26" t="str">
        <f ca="1"/>
        <v>cow</v>
      </c>
      <c r="K16" s="26" t="str">
        <f ca="1"/>
        <v>hair</v>
      </c>
      <c r="M16" s="26" t="str">
        <f ca="1"/>
        <v>sleeping</v>
      </c>
      <c r="O16" s="26" t="str">
        <f ca="1"/>
        <v>piano</v>
      </c>
    </row>
    <row r="17" spans="1:15">
      <c r="A17" s="26" t="s">
        <v>59</v>
      </c>
      <c r="B17" s="26">
        <v>4</v>
      </c>
      <c r="E17" s="26">
        <f t="shared" si="0"/>
        <v>11</v>
      </c>
      <c r="F17" s="26" t="str">
        <f t="shared" si="1"/>
        <v>OK</v>
      </c>
      <c r="I17" s="26" t="str">
        <f ca="1"/>
        <v>crown</v>
      </c>
      <c r="K17" s="26" t="str">
        <f ca="1"/>
        <v>hand</v>
      </c>
      <c r="M17" s="26" t="str">
        <f ca="1"/>
        <v>snail</v>
      </c>
      <c r="O17" s="26" t="str">
        <f ca="1"/>
        <v>playground</v>
      </c>
    </row>
    <row r="18" spans="1:15">
      <c r="A18" s="26" t="s">
        <v>57</v>
      </c>
      <c r="B18" s="26">
        <v>1</v>
      </c>
      <c r="C18" s="26" t="s">
        <v>297</v>
      </c>
      <c r="E18" s="26">
        <f t="shared" si="0"/>
        <v>3</v>
      </c>
      <c r="F18" s="26" t="str">
        <f t="shared" si="1"/>
        <v>OK</v>
      </c>
      <c r="I18" s="26" t="str">
        <f ca="1"/>
        <v>cup</v>
      </c>
      <c r="K18" s="26" t="str">
        <f ca="1"/>
        <v>house</v>
      </c>
      <c r="M18" s="26" t="str">
        <f ca="1"/>
        <v>snoring</v>
      </c>
      <c r="O18" s="26" t="str">
        <f ca="1"/>
        <v>saturn</v>
      </c>
    </row>
    <row r="19" spans="1:15">
      <c r="A19" s="26" t="s">
        <v>38</v>
      </c>
      <c r="B19" s="26">
        <v>3</v>
      </c>
      <c r="C19" s="26" t="s">
        <v>94</v>
      </c>
      <c r="E19" s="26">
        <f t="shared" si="0"/>
        <v>6</v>
      </c>
      <c r="F19" s="26" t="str">
        <f t="shared" si="1"/>
        <v>OK</v>
      </c>
      <c r="I19" s="26" t="str">
        <f ca="1"/>
        <v>dog</v>
      </c>
      <c r="K19" s="26" t="str">
        <f ca="1"/>
        <v>icecream</v>
      </c>
      <c r="M19" s="26" t="str">
        <f ca="1"/>
        <v>storm</v>
      </c>
      <c r="O19" s="26" t="str">
        <f ca="1"/>
        <v>school</v>
      </c>
    </row>
    <row r="20" spans="1:15">
      <c r="A20" s="26" t="s">
        <v>8</v>
      </c>
      <c r="B20" s="26">
        <v>2</v>
      </c>
      <c r="E20" s="26">
        <f t="shared" si="0"/>
        <v>8</v>
      </c>
      <c r="F20" s="26" t="str">
        <f t="shared" si="1"/>
        <v>OK</v>
      </c>
      <c r="I20" s="26" t="str">
        <f ca="1"/>
        <v>duck</v>
      </c>
      <c r="K20" s="26" t="str">
        <f ca="1"/>
        <v>island</v>
      </c>
      <c r="M20" s="26" t="str">
        <f ca="1"/>
        <v>swings</v>
      </c>
      <c r="O20" s="26" t="str">
        <f ca="1"/>
        <v>scissors</v>
      </c>
    </row>
    <row r="21" spans="1:15">
      <c r="A21" s="26" t="s">
        <v>68</v>
      </c>
      <c r="B21" s="26">
        <v>2</v>
      </c>
      <c r="E21" s="26">
        <f t="shared" si="0"/>
        <v>7</v>
      </c>
      <c r="F21" s="26" t="str">
        <f t="shared" si="1"/>
        <v>OK</v>
      </c>
      <c r="I21" s="26" t="str">
        <f ca="1"/>
        <v>flag</v>
      </c>
      <c r="K21" s="26" t="str">
        <f ca="1"/>
        <v>ladybird</v>
      </c>
      <c r="M21" s="26" t="str">
        <f ca="1"/>
        <v>tent</v>
      </c>
      <c r="O21" s="26" t="str">
        <f ca="1"/>
        <v>shed</v>
      </c>
    </row>
    <row r="22" spans="1:15">
      <c r="A22" s="26" t="s">
        <v>12</v>
      </c>
      <c r="B22" s="26">
        <v>1</v>
      </c>
      <c r="C22" s="26" t="s">
        <v>343</v>
      </c>
      <c r="E22" s="26">
        <f t="shared" si="0"/>
        <v>3</v>
      </c>
      <c r="F22" s="26" t="str">
        <f t="shared" si="1"/>
        <v>OK</v>
      </c>
      <c r="I22" s="26" t="str">
        <f ca="1"/>
        <v>flower</v>
      </c>
      <c r="K22" s="26" t="str">
        <f ca="1"/>
        <v>lion</v>
      </c>
      <c r="M22" s="26" t="str">
        <f ca="1"/>
        <v>tiger</v>
      </c>
      <c r="O22" s="26" t="str">
        <f ca="1"/>
        <v>solar system</v>
      </c>
    </row>
    <row r="23" spans="1:15">
      <c r="A23" s="26" t="s">
        <v>48</v>
      </c>
      <c r="B23" s="26">
        <v>1</v>
      </c>
      <c r="E23" s="26">
        <f t="shared" si="0"/>
        <v>9</v>
      </c>
      <c r="F23" s="26" t="str">
        <f t="shared" si="1"/>
        <v>OK</v>
      </c>
      <c r="I23" s="26" t="str">
        <f ca="1"/>
        <v>fly</v>
      </c>
      <c r="K23" s="26" t="str">
        <f ca="1"/>
        <v>monkey</v>
      </c>
      <c r="M23" s="26" t="str">
        <f ca="1"/>
        <v>van</v>
      </c>
      <c r="O23" s="26" t="str">
        <f ca="1"/>
        <v>spring</v>
      </c>
    </row>
    <row r="24" spans="1:15">
      <c r="A24" s="26" t="s">
        <v>2</v>
      </c>
      <c r="B24" s="26">
        <v>1</v>
      </c>
      <c r="C24" s="26" t="s">
        <v>298</v>
      </c>
      <c r="E24" s="26">
        <f t="shared" si="0"/>
        <v>4</v>
      </c>
      <c r="F24" s="26" t="str">
        <f t="shared" si="1"/>
        <v>OK</v>
      </c>
      <c r="I24" s="26" t="str">
        <f ca="1"/>
        <v>girl</v>
      </c>
      <c r="K24" s="26" t="str">
        <f ca="1"/>
        <v>mouth</v>
      </c>
      <c r="M24" s="26" t="str">
        <f ca="1"/>
        <v>wand</v>
      </c>
      <c r="O24" s="26" t="str">
        <f ca="1"/>
        <v>summer</v>
      </c>
    </row>
    <row r="25" spans="1:15">
      <c r="A25" s="26" t="s">
        <v>233</v>
      </c>
      <c r="B25" s="26">
        <v>2</v>
      </c>
      <c r="C25" s="26" t="s">
        <v>317</v>
      </c>
      <c r="E25" s="26">
        <f t="shared" si="0"/>
        <v>6</v>
      </c>
      <c r="F25" s="26" t="str">
        <f t="shared" si="1"/>
        <v>OK</v>
      </c>
      <c r="I25" s="26" t="str">
        <f ca="1"/>
        <v>hat</v>
      </c>
      <c r="K25" s="26" t="str">
        <f ca="1"/>
        <v>nose</v>
      </c>
      <c r="M25" s="26" t="str">
        <f ca="1"/>
        <v>whale</v>
      </c>
      <c r="O25" s="26" t="str">
        <f ca="1"/>
        <v>sword</v>
      </c>
    </row>
    <row r="26" spans="1:15">
      <c r="A26" s="26" t="s">
        <v>205</v>
      </c>
      <c r="B26" s="26">
        <v>1</v>
      </c>
      <c r="C26" s="26" t="s">
        <v>206</v>
      </c>
      <c r="E26" s="26">
        <f t="shared" si="0"/>
        <v>3</v>
      </c>
      <c r="F26" s="26" t="str">
        <f t="shared" si="1"/>
        <v>OK</v>
      </c>
      <c r="I26" s="26" t="str">
        <f ca="1"/>
        <v>heart</v>
      </c>
      <c r="K26" s="26" t="str">
        <f ca="1"/>
        <v>orange juice</v>
      </c>
      <c r="M26" s="26" t="str">
        <f ca="1"/>
        <v>wolf</v>
      </c>
      <c r="O26" s="26" t="str">
        <f ca="1"/>
        <v>treasure</v>
      </c>
    </row>
    <row r="27" spans="1:15">
      <c r="A27" s="26" t="s">
        <v>7</v>
      </c>
      <c r="B27" s="26">
        <v>1</v>
      </c>
      <c r="C27" s="26" t="s">
        <v>299</v>
      </c>
      <c r="E27" s="26">
        <f t="shared" si="0"/>
        <v>6</v>
      </c>
      <c r="F27" s="26" t="str">
        <f t="shared" si="1"/>
        <v>OK</v>
      </c>
      <c r="I27" s="26" t="str">
        <f ca="1"/>
        <v>key</v>
      </c>
      <c r="K27" s="26" t="str">
        <f ca="1"/>
        <v>owl</v>
      </c>
      <c r="M27" s="26" t="str">
        <f ca="1"/>
        <v>mountain</v>
      </c>
      <c r="O27" s="26" t="str">
        <f ca="1"/>
        <v>watermelon</v>
      </c>
    </row>
    <row r="28" spans="1:15">
      <c r="A28" s="26" t="s">
        <v>17</v>
      </c>
      <c r="B28" s="26">
        <v>2</v>
      </c>
      <c r="C28" s="26" t="s">
        <v>318</v>
      </c>
      <c r="E28" s="26">
        <f t="shared" si="0"/>
        <v>6</v>
      </c>
      <c r="F28" s="26" t="str">
        <f t="shared" si="1"/>
        <v>OK</v>
      </c>
      <c r="I28" s="26" t="str">
        <f ca="1"/>
        <v>moon</v>
      </c>
      <c r="K28" s="26" t="str">
        <f ca="1"/>
        <v>pear</v>
      </c>
      <c r="M28" s="26" t="str">
        <f ca="1"/>
        <v>beach</v>
      </c>
      <c r="O28" s="26" t="str">
        <f ca="1"/>
        <v>winter</v>
      </c>
    </row>
    <row r="29" spans="1:15">
      <c r="A29" s="26" t="s">
        <v>15</v>
      </c>
      <c r="B29" s="26">
        <v>1</v>
      </c>
      <c r="C29" s="26" t="s">
        <v>228</v>
      </c>
      <c r="E29" s="26">
        <f t="shared" si="0"/>
        <v>3</v>
      </c>
      <c r="F29" s="26" t="str">
        <f t="shared" si="1"/>
        <v>DUPLICATE</v>
      </c>
      <c r="I29" s="26" t="str">
        <f ca="1"/>
        <v>pig</v>
      </c>
      <c r="K29" s="26" t="str">
        <f ca="1"/>
        <v>penguin</v>
      </c>
      <c r="M29" s="26" t="str">
        <f ca="1"/>
        <v>hen</v>
      </c>
      <c r="O29" s="26" t="str">
        <f ca="1"/>
        <v>zoo</v>
      </c>
    </row>
    <row r="30" spans="1:15">
      <c r="A30" s="26" t="s">
        <v>232</v>
      </c>
      <c r="B30" s="26">
        <v>3</v>
      </c>
      <c r="E30" s="26">
        <f t="shared" si="0"/>
        <v>11</v>
      </c>
      <c r="F30" s="26" t="str">
        <f t="shared" si="1"/>
        <v>OK</v>
      </c>
      <c r="I30" s="26" t="str">
        <f ca="1"/>
        <v>plane</v>
      </c>
      <c r="K30" s="26" t="str">
        <f ca="1"/>
        <v>rabbit</v>
      </c>
      <c r="M30" s="26" t="str">
        <f ca="1"/>
        <v>spoon</v>
      </c>
      <c r="O30" s="26" t="str">
        <f ca="1"/>
        <v>alien</v>
      </c>
    </row>
    <row r="31" spans="1:15">
      <c r="A31" s="26" t="s">
        <v>302</v>
      </c>
      <c r="B31" s="26">
        <v>4</v>
      </c>
      <c r="E31" s="26">
        <f t="shared" si="0"/>
        <v>10</v>
      </c>
      <c r="F31" s="26" t="str">
        <f t="shared" si="1"/>
        <v>OK</v>
      </c>
      <c r="I31" s="26" t="str">
        <f ca="1"/>
        <v>planet</v>
      </c>
      <c r="K31" s="26" t="str">
        <f ca="1"/>
        <v>scooter</v>
      </c>
      <c r="M31" s="26" t="str">
        <f ca="1"/>
        <v>fire</v>
      </c>
      <c r="O31" s="26" t="str">
        <f ca="1"/>
        <v>giant</v>
      </c>
    </row>
    <row r="32" spans="1:15">
      <c r="A32" s="26" t="s">
        <v>283</v>
      </c>
      <c r="B32" s="26">
        <v>2</v>
      </c>
      <c r="E32" s="26">
        <f t="shared" si="0"/>
        <v>5</v>
      </c>
      <c r="F32" s="26" t="str">
        <f t="shared" si="1"/>
        <v>OK</v>
      </c>
      <c r="I32" s="26" t="str">
        <f ca="1"/>
        <v>princess</v>
      </c>
      <c r="K32" s="26" t="str">
        <f ca="1"/>
        <v>ship</v>
      </c>
      <c r="M32" s="26" t="str">
        <f ca="1"/>
        <v>magic</v>
      </c>
      <c r="O32" s="26" t="str">
        <f ca="1"/>
        <v>volcano</v>
      </c>
    </row>
    <row r="33" spans="1:15">
      <c r="A33" s="26" t="s">
        <v>62</v>
      </c>
      <c r="B33" s="26">
        <v>1</v>
      </c>
      <c r="E33" s="26">
        <f t="shared" si="0"/>
        <v>5</v>
      </c>
      <c r="F33" s="26" t="str">
        <f t="shared" si="1"/>
        <v>OK</v>
      </c>
      <c r="I33" s="26" t="str">
        <f ca="1"/>
        <v>rain</v>
      </c>
      <c r="K33" s="26" t="str">
        <f ca="1"/>
        <v>slide</v>
      </c>
      <c r="M33" s="26" t="str">
        <f ca="1"/>
        <v>ice</v>
      </c>
      <c r="O33" s="26" t="str">
        <f ca="1"/>
        <v>farm</v>
      </c>
    </row>
    <row r="34" spans="1:15">
      <c r="A34" s="26" t="s">
        <v>120</v>
      </c>
      <c r="B34" s="26">
        <v>4</v>
      </c>
      <c r="C34" s="26" t="s">
        <v>121</v>
      </c>
      <c r="E34" s="26">
        <f t="shared" ref="E34:E65" si="2">LEN(A34)</f>
        <v>8</v>
      </c>
      <c r="F34" s="26" t="str">
        <f t="shared" ref="F34:F65" si="3">IF(OR((COUNTIF(A:A,C34)+COUNTIF(C:C,C34))&gt;1, (COUNTIF(A:A,A34)+COUNTIF(C:C,A34))&gt;1),"DUPLICATE","OK")</f>
        <v>OK</v>
      </c>
      <c r="I34" s="26" t="str">
        <f ca="1"/>
        <v>rainbow</v>
      </c>
      <c r="K34" s="26" t="str">
        <f ca="1"/>
        <v>snake</v>
      </c>
      <c r="O34" s="26" t="str">
        <f ca="1"/>
        <v>dinosaur</v>
      </c>
    </row>
    <row r="35" spans="1:15">
      <c r="A35" s="26" t="s">
        <v>52</v>
      </c>
      <c r="B35" s="26">
        <v>1</v>
      </c>
      <c r="C35" s="26" t="s">
        <v>316</v>
      </c>
      <c r="E35" s="26">
        <f t="shared" si="2"/>
        <v>3</v>
      </c>
      <c r="F35" s="26" t="str">
        <f t="shared" si="3"/>
        <v>OK</v>
      </c>
      <c r="I35" s="26" t="str">
        <f ca="1"/>
        <v>rocket</v>
      </c>
      <c r="K35" s="26" t="str">
        <f ca="1"/>
        <v>spaghetti</v>
      </c>
    </row>
    <row r="36" spans="1:15">
      <c r="A36" s="26" t="s">
        <v>32</v>
      </c>
      <c r="B36" s="26">
        <v>1</v>
      </c>
      <c r="C36" s="26" t="s">
        <v>223</v>
      </c>
      <c r="D36" s="26">
        <v>3</v>
      </c>
      <c r="E36" s="26">
        <f t="shared" si="2"/>
        <v>5</v>
      </c>
      <c r="F36" s="26" t="str">
        <f t="shared" si="3"/>
        <v>OK</v>
      </c>
      <c r="I36" s="26" t="str">
        <f ca="1"/>
        <v>scarf</v>
      </c>
      <c r="K36" s="26" t="str">
        <f ca="1"/>
        <v>sun</v>
      </c>
    </row>
    <row r="37" spans="1:15">
      <c r="A37" s="26" t="s">
        <v>0</v>
      </c>
      <c r="B37" s="26">
        <v>1</v>
      </c>
      <c r="C37" s="26" t="s">
        <v>110</v>
      </c>
      <c r="E37" s="26">
        <f t="shared" si="2"/>
        <v>3</v>
      </c>
      <c r="F37" s="26" t="str">
        <f t="shared" si="3"/>
        <v>OK</v>
      </c>
      <c r="I37" s="26" t="str">
        <f ca="1"/>
        <v>sea</v>
      </c>
      <c r="K37" s="26" t="str">
        <f ca="1"/>
        <v>swan</v>
      </c>
    </row>
    <row r="38" spans="1:15">
      <c r="A38" s="26" t="s">
        <v>306</v>
      </c>
      <c r="B38" s="26">
        <v>4</v>
      </c>
      <c r="E38" s="26">
        <f t="shared" si="2"/>
        <v>9</v>
      </c>
      <c r="F38" s="26" t="str">
        <f t="shared" si="3"/>
        <v>OK</v>
      </c>
      <c r="I38" s="26" t="str">
        <f ca="1"/>
        <v>sheep</v>
      </c>
      <c r="K38" s="26" t="str">
        <f ca="1"/>
        <v>sweet</v>
      </c>
    </row>
    <row r="39" spans="1:15">
      <c r="A39" s="26" t="s">
        <v>16</v>
      </c>
      <c r="B39" s="26">
        <v>1</v>
      </c>
      <c r="C39" s="26" t="s">
        <v>95</v>
      </c>
      <c r="E39" s="26">
        <f t="shared" si="2"/>
        <v>3</v>
      </c>
      <c r="F39" s="26" t="str">
        <f t="shared" si="3"/>
        <v>OK</v>
      </c>
      <c r="I39" s="26" t="str">
        <f ca="1"/>
        <v>snow man</v>
      </c>
      <c r="K39" s="26" t="str">
        <f ca="1"/>
        <v>truck</v>
      </c>
    </row>
    <row r="40" spans="1:15">
      <c r="A40" s="26" t="s">
        <v>29</v>
      </c>
      <c r="B40" s="26">
        <v>2</v>
      </c>
      <c r="C40" s="26" t="s">
        <v>322</v>
      </c>
      <c r="E40" s="26">
        <f t="shared" si="2"/>
        <v>4</v>
      </c>
      <c r="F40" s="26" t="str">
        <f t="shared" si="3"/>
        <v>OK</v>
      </c>
      <c r="I40" s="26" t="str">
        <f ca="1"/>
        <v>spade</v>
      </c>
      <c r="K40" s="26" t="str">
        <f ca="1"/>
        <v>turtle</v>
      </c>
    </row>
    <row r="41" spans="1:15">
      <c r="A41" s="26" t="s">
        <v>235</v>
      </c>
      <c r="B41" s="26">
        <v>3</v>
      </c>
      <c r="E41" s="26">
        <f t="shared" si="2"/>
        <v>7</v>
      </c>
      <c r="F41" s="26" t="str">
        <f t="shared" si="3"/>
        <v>OK</v>
      </c>
      <c r="I41" s="26" t="str">
        <f ca="1"/>
        <v>spider</v>
      </c>
      <c r="K41" s="26" t="str">
        <f ca="1"/>
        <v>umbrella</v>
      </c>
    </row>
    <row r="42" spans="1:15">
      <c r="A42" s="26" t="s">
        <v>289</v>
      </c>
      <c r="B42" s="26">
        <v>2</v>
      </c>
      <c r="E42" s="26">
        <f t="shared" si="2"/>
        <v>4</v>
      </c>
      <c r="F42" s="26" t="str">
        <f t="shared" si="3"/>
        <v>OK</v>
      </c>
      <c r="I42" s="26" t="str">
        <f ca="1"/>
        <v>star</v>
      </c>
      <c r="K42" s="26" t="str">
        <f ca="1"/>
        <v>water</v>
      </c>
    </row>
    <row r="43" spans="1:15">
      <c r="A43" s="26" t="s">
        <v>319</v>
      </c>
      <c r="B43" s="26">
        <v>4</v>
      </c>
      <c r="E43" s="26">
        <f t="shared" si="2"/>
        <v>6</v>
      </c>
      <c r="F43" s="26" t="str">
        <f t="shared" si="3"/>
        <v>OK</v>
      </c>
      <c r="I43" s="26" t="str">
        <f ca="1"/>
        <v>tea</v>
      </c>
      <c r="K43" s="26" t="str">
        <f ca="1"/>
        <v>window</v>
      </c>
    </row>
    <row r="44" spans="1:15">
      <c r="A44" s="26" t="s">
        <v>60</v>
      </c>
      <c r="B44" s="26">
        <v>1</v>
      </c>
      <c r="E44" s="26">
        <f t="shared" si="2"/>
        <v>4</v>
      </c>
      <c r="F44" s="26" t="str">
        <f t="shared" si="3"/>
        <v>OK</v>
      </c>
      <c r="I44" s="26" t="str">
        <f ca="1"/>
        <v>teddy bear</v>
      </c>
      <c r="K44" s="26" t="str">
        <f ca="1"/>
        <v>worm</v>
      </c>
    </row>
    <row r="45" spans="1:15">
      <c r="A45" s="26" t="s">
        <v>265</v>
      </c>
      <c r="B45" s="26">
        <v>2</v>
      </c>
      <c r="E45" s="26">
        <f t="shared" si="2"/>
        <v>4</v>
      </c>
      <c r="F45" s="26" t="str">
        <f t="shared" si="3"/>
        <v>OK</v>
      </c>
      <c r="I45" s="26" t="str">
        <f ca="1"/>
        <v>tomato</v>
      </c>
      <c r="K45" s="26" t="str">
        <f ca="1"/>
        <v>zebra</v>
      </c>
    </row>
    <row r="46" spans="1:15">
      <c r="A46" s="26" t="s">
        <v>97</v>
      </c>
      <c r="B46" s="26">
        <v>3</v>
      </c>
      <c r="E46" s="26">
        <f t="shared" si="2"/>
        <v>13</v>
      </c>
      <c r="F46" s="26" t="str">
        <f t="shared" si="3"/>
        <v>OK</v>
      </c>
      <c r="I46" s="26" t="str">
        <f ca="1"/>
        <v>train</v>
      </c>
      <c r="K46" s="26" t="str">
        <f ca="1"/>
        <v>chicken</v>
      </c>
    </row>
    <row r="47" spans="1:15">
      <c r="A47" s="26" t="s">
        <v>264</v>
      </c>
      <c r="B47" s="26">
        <v>2</v>
      </c>
      <c r="E47" s="26">
        <f t="shared" si="2"/>
        <v>3</v>
      </c>
      <c r="F47" s="26" t="str">
        <f t="shared" si="3"/>
        <v>OK</v>
      </c>
      <c r="I47" s="26" t="str">
        <f ca="1"/>
        <v>tree</v>
      </c>
      <c r="K47" s="26" t="str">
        <f ca="1"/>
        <v>fork</v>
      </c>
    </row>
    <row r="48" spans="1:15">
      <c r="A48" s="26" t="s">
        <v>20</v>
      </c>
      <c r="B48" s="26">
        <v>2</v>
      </c>
      <c r="C48" s="26" t="s">
        <v>344</v>
      </c>
      <c r="E48" s="26">
        <f t="shared" si="2"/>
        <v>5</v>
      </c>
      <c r="F48" s="26" t="str">
        <f t="shared" si="3"/>
        <v>OK</v>
      </c>
      <c r="I48" s="26" t="str">
        <f ca="1"/>
        <v>egg</v>
      </c>
      <c r="K48" s="26" t="str">
        <f ca="1"/>
        <v>knife</v>
      </c>
    </row>
    <row r="49" spans="1:6">
      <c r="A49" s="26" t="s">
        <v>320</v>
      </c>
      <c r="B49" s="26">
        <v>4</v>
      </c>
      <c r="E49" s="26">
        <f t="shared" si="2"/>
        <v>16</v>
      </c>
      <c r="F49" s="26" t="str">
        <f t="shared" si="3"/>
        <v>OK</v>
      </c>
    </row>
    <row r="50" spans="1:6">
      <c r="A50" s="26" t="s">
        <v>18</v>
      </c>
      <c r="B50" s="26">
        <v>1</v>
      </c>
      <c r="C50" s="26" t="s">
        <v>124</v>
      </c>
      <c r="E50" s="26">
        <f t="shared" si="2"/>
        <v>4</v>
      </c>
      <c r="F50" s="26" t="str">
        <f t="shared" si="3"/>
        <v>OK</v>
      </c>
    </row>
    <row r="51" spans="1:6">
      <c r="A51" s="26" t="s">
        <v>76</v>
      </c>
      <c r="B51" s="26">
        <v>1</v>
      </c>
      <c r="E51" s="26">
        <f t="shared" si="2"/>
        <v>6</v>
      </c>
      <c r="F51" s="26" t="str">
        <f t="shared" si="3"/>
        <v>OK</v>
      </c>
    </row>
    <row r="52" spans="1:6">
      <c r="A52" s="26" t="s">
        <v>47</v>
      </c>
      <c r="B52" s="26">
        <v>1</v>
      </c>
      <c r="C52" s="26" t="s">
        <v>314</v>
      </c>
      <c r="E52" s="26">
        <f t="shared" si="2"/>
        <v>3</v>
      </c>
      <c r="F52" s="26" t="str">
        <f t="shared" si="3"/>
        <v>OK</v>
      </c>
    </row>
    <row r="53" spans="1:6">
      <c r="A53" s="26" t="s">
        <v>65</v>
      </c>
      <c r="B53" s="26">
        <v>2</v>
      </c>
      <c r="E53" s="26">
        <f t="shared" si="2"/>
        <v>3</v>
      </c>
      <c r="F53" s="26" t="str">
        <f t="shared" si="3"/>
        <v>OK</v>
      </c>
    </row>
    <row r="54" spans="1:6">
      <c r="A54" s="26" t="s">
        <v>290</v>
      </c>
      <c r="B54" s="26">
        <v>4</v>
      </c>
      <c r="E54" s="26">
        <f t="shared" si="2"/>
        <v>4</v>
      </c>
      <c r="F54" s="26" t="str">
        <f t="shared" si="3"/>
        <v>OK</v>
      </c>
    </row>
    <row r="55" spans="1:6">
      <c r="A55" s="26" t="s">
        <v>56</v>
      </c>
      <c r="B55" s="26">
        <v>1</v>
      </c>
      <c r="E55" s="26">
        <f t="shared" si="2"/>
        <v>4</v>
      </c>
      <c r="F55" s="26" t="str">
        <f t="shared" si="3"/>
        <v>OK</v>
      </c>
    </row>
    <row r="56" spans="1:6">
      <c r="A56" s="26" t="s">
        <v>4</v>
      </c>
      <c r="B56" s="26">
        <v>2</v>
      </c>
      <c r="E56" s="26">
        <f t="shared" si="2"/>
        <v>7</v>
      </c>
      <c r="F56" s="26" t="str">
        <f t="shared" si="3"/>
        <v>OK</v>
      </c>
    </row>
    <row r="57" spans="1:6">
      <c r="A57" s="26" t="s">
        <v>22</v>
      </c>
      <c r="B57" s="26">
        <v>2</v>
      </c>
      <c r="E57" s="26">
        <f t="shared" si="2"/>
        <v>6</v>
      </c>
      <c r="F57" s="26" t="str">
        <f t="shared" si="3"/>
        <v>OK</v>
      </c>
    </row>
    <row r="58" spans="1:6">
      <c r="A58" s="26" t="s">
        <v>238</v>
      </c>
      <c r="B58" s="26">
        <v>4</v>
      </c>
      <c r="E58" s="26">
        <f t="shared" si="2"/>
        <v>8</v>
      </c>
      <c r="F58" s="26" t="str">
        <f t="shared" si="3"/>
        <v>OK</v>
      </c>
    </row>
    <row r="59" spans="1:6">
      <c r="A59" s="26" t="s">
        <v>53</v>
      </c>
      <c r="B59" s="26">
        <v>2</v>
      </c>
      <c r="E59" s="26">
        <f t="shared" si="2"/>
        <v>4</v>
      </c>
      <c r="F59" s="26" t="str">
        <f t="shared" si="3"/>
        <v>OK</v>
      </c>
    </row>
    <row r="60" spans="1:6">
      <c r="A60" s="26" t="s">
        <v>266</v>
      </c>
      <c r="B60" s="26">
        <v>2</v>
      </c>
      <c r="E60" s="26">
        <f t="shared" si="2"/>
        <v>4</v>
      </c>
      <c r="F60" s="26" t="str">
        <f t="shared" si="3"/>
        <v>OK</v>
      </c>
    </row>
    <row r="61" spans="1:6">
      <c r="A61" s="26" t="s">
        <v>61</v>
      </c>
      <c r="B61" s="26">
        <v>1</v>
      </c>
      <c r="C61" s="26" t="s">
        <v>315</v>
      </c>
      <c r="E61" s="26">
        <f t="shared" si="2"/>
        <v>3</v>
      </c>
      <c r="F61" s="26" t="str">
        <f t="shared" si="3"/>
        <v>OK</v>
      </c>
    </row>
    <row r="62" spans="1:6">
      <c r="A62" s="26" t="s">
        <v>30</v>
      </c>
      <c r="B62" s="26">
        <v>1</v>
      </c>
      <c r="E62" s="26">
        <f t="shared" si="2"/>
        <v>5</v>
      </c>
      <c r="F62" s="26" t="str">
        <f t="shared" si="3"/>
        <v>OK</v>
      </c>
    </row>
    <row r="63" spans="1:6">
      <c r="A63" s="26" t="s">
        <v>66</v>
      </c>
      <c r="B63" s="26">
        <v>3</v>
      </c>
      <c r="E63" s="26">
        <f t="shared" si="2"/>
        <v>8</v>
      </c>
      <c r="F63" s="26" t="str">
        <f t="shared" si="3"/>
        <v>OK</v>
      </c>
    </row>
    <row r="64" spans="1:6">
      <c r="A64" s="26" t="s">
        <v>41</v>
      </c>
      <c r="B64" s="26">
        <v>3</v>
      </c>
      <c r="C64" s="26" t="s">
        <v>115</v>
      </c>
      <c r="E64" s="26">
        <f t="shared" si="2"/>
        <v>5</v>
      </c>
      <c r="F64" s="26" t="str">
        <f t="shared" si="3"/>
        <v>OK</v>
      </c>
    </row>
    <row r="65" spans="1:6">
      <c r="A65" s="26" t="s">
        <v>300</v>
      </c>
      <c r="B65" s="26">
        <v>4</v>
      </c>
      <c r="E65" s="26">
        <f t="shared" si="2"/>
        <v>8</v>
      </c>
      <c r="F65" s="26" t="str">
        <f t="shared" si="3"/>
        <v>OK</v>
      </c>
    </row>
    <row r="66" spans="1:6">
      <c r="A66" s="26" t="s">
        <v>287</v>
      </c>
      <c r="B66" s="26">
        <v>2</v>
      </c>
      <c r="E66" s="26">
        <f t="shared" ref="E66:E97" si="4">LEN(A66)</f>
        <v>5</v>
      </c>
      <c r="F66" s="26" t="str">
        <f t="shared" ref="F66:F97" si="5">IF(OR((COUNTIF(A:A,C66)+COUNTIF(C:C,C66))&gt;1, (COUNTIF(A:A,A66)+COUNTIF(C:C,A66))&gt;1),"DUPLICATE","OK")</f>
        <v>OK</v>
      </c>
    </row>
    <row r="67" spans="1:6">
      <c r="A67" s="26" t="s">
        <v>74</v>
      </c>
      <c r="B67" s="26">
        <v>2</v>
      </c>
      <c r="E67" s="26">
        <f t="shared" si="4"/>
        <v>8</v>
      </c>
      <c r="F67" s="26" t="str">
        <f t="shared" si="5"/>
        <v>OK</v>
      </c>
    </row>
    <row r="68" spans="1:6">
      <c r="A68" s="26" t="s">
        <v>28</v>
      </c>
      <c r="B68" s="26">
        <v>2</v>
      </c>
      <c r="C68" s="26" t="s">
        <v>98</v>
      </c>
      <c r="E68" s="26">
        <f t="shared" si="4"/>
        <v>6</v>
      </c>
      <c r="F68" s="26" t="str">
        <f t="shared" si="5"/>
        <v>OK</v>
      </c>
    </row>
    <row r="69" spans="1:6">
      <c r="A69" s="26" t="s">
        <v>261</v>
      </c>
      <c r="B69" s="26">
        <v>1</v>
      </c>
      <c r="E69" s="26">
        <f t="shared" si="4"/>
        <v>3</v>
      </c>
      <c r="F69" s="26" t="str">
        <f t="shared" si="5"/>
        <v>OK</v>
      </c>
    </row>
    <row r="70" spans="1:6">
      <c r="A70" s="26" t="s">
        <v>282</v>
      </c>
      <c r="B70" s="26">
        <v>3</v>
      </c>
      <c r="E70" s="26">
        <f t="shared" si="4"/>
        <v>4</v>
      </c>
      <c r="F70" s="26" t="str">
        <f t="shared" si="5"/>
        <v>OK</v>
      </c>
    </row>
    <row r="71" spans="1:6">
      <c r="A71" s="26" t="s">
        <v>46</v>
      </c>
      <c r="B71" s="26">
        <v>2</v>
      </c>
      <c r="E71" s="26">
        <f t="shared" si="4"/>
        <v>8</v>
      </c>
      <c r="F71" s="26" t="str">
        <f t="shared" si="5"/>
        <v>OK</v>
      </c>
    </row>
    <row r="72" spans="1:6">
      <c r="A72" s="26" t="s">
        <v>230</v>
      </c>
      <c r="B72" s="26">
        <v>2</v>
      </c>
      <c r="C72" s="26" t="s">
        <v>325</v>
      </c>
      <c r="E72" s="26">
        <f t="shared" si="4"/>
        <v>4</v>
      </c>
      <c r="F72" s="26" t="str">
        <f t="shared" si="5"/>
        <v>OK</v>
      </c>
    </row>
    <row r="73" spans="1:6">
      <c r="A73" s="26" t="s">
        <v>326</v>
      </c>
      <c r="B73" s="26">
        <v>3</v>
      </c>
      <c r="E73" s="26">
        <f t="shared" si="4"/>
        <v>6</v>
      </c>
      <c r="F73" s="26" t="str">
        <f t="shared" si="5"/>
        <v>OK</v>
      </c>
    </row>
    <row r="74" spans="1:6">
      <c r="A74" s="26" t="s">
        <v>310</v>
      </c>
      <c r="B74" s="26">
        <v>4</v>
      </c>
      <c r="E74" s="26">
        <f t="shared" si="4"/>
        <v>10</v>
      </c>
      <c r="F74" s="26" t="str">
        <f t="shared" si="5"/>
        <v>OK</v>
      </c>
    </row>
    <row r="75" spans="1:6">
      <c r="A75" s="26" t="s">
        <v>54</v>
      </c>
      <c r="B75" s="26">
        <v>3</v>
      </c>
      <c r="E75" s="26">
        <f t="shared" si="4"/>
        <v>7</v>
      </c>
      <c r="F75" s="26" t="str">
        <f t="shared" si="5"/>
        <v>OK</v>
      </c>
    </row>
    <row r="76" spans="1:6">
      <c r="A76" s="26" t="s">
        <v>45</v>
      </c>
      <c r="B76" s="26">
        <v>4</v>
      </c>
      <c r="E76" s="26">
        <f t="shared" si="4"/>
        <v>4</v>
      </c>
      <c r="F76" s="26" t="str">
        <f t="shared" si="5"/>
        <v>OK</v>
      </c>
    </row>
    <row r="77" spans="1:6">
      <c r="A77" s="26" t="s">
        <v>24</v>
      </c>
      <c r="B77" s="26">
        <v>2</v>
      </c>
      <c r="E77" s="26">
        <f t="shared" si="4"/>
        <v>6</v>
      </c>
      <c r="F77" s="26" t="str">
        <f t="shared" si="5"/>
        <v>OK</v>
      </c>
    </row>
    <row r="78" spans="1:6">
      <c r="A78" s="26" t="s">
        <v>70</v>
      </c>
      <c r="B78" s="26">
        <v>1</v>
      </c>
      <c r="C78" s="26" t="s">
        <v>123</v>
      </c>
      <c r="E78" s="26">
        <f t="shared" si="4"/>
        <v>4</v>
      </c>
      <c r="F78" s="26" t="str">
        <f t="shared" si="5"/>
        <v>OK</v>
      </c>
    </row>
    <row r="79" spans="1:6">
      <c r="A79" s="26" t="s">
        <v>50</v>
      </c>
      <c r="B79" s="26">
        <v>3</v>
      </c>
      <c r="E79" s="26">
        <f t="shared" si="4"/>
        <v>5</v>
      </c>
      <c r="F79" s="26" t="str">
        <f t="shared" si="5"/>
        <v>OK</v>
      </c>
    </row>
    <row r="80" spans="1:6">
      <c r="A80" s="26" t="s">
        <v>263</v>
      </c>
      <c r="B80" s="26">
        <v>2</v>
      </c>
      <c r="E80" s="26">
        <f t="shared" si="4"/>
        <v>5</v>
      </c>
      <c r="F80" s="26" t="str">
        <f t="shared" si="5"/>
        <v>OK</v>
      </c>
    </row>
    <row r="81" spans="1:6">
      <c r="A81" s="26" t="s">
        <v>262</v>
      </c>
      <c r="B81" s="26">
        <v>2</v>
      </c>
      <c r="E81" s="26">
        <f t="shared" si="4"/>
        <v>4</v>
      </c>
      <c r="F81" s="26" t="str">
        <f t="shared" si="5"/>
        <v>OK</v>
      </c>
    </row>
    <row r="82" spans="1:6">
      <c r="A82" s="26" t="s">
        <v>6</v>
      </c>
      <c r="B82" s="26">
        <v>2</v>
      </c>
      <c r="E82" s="26">
        <f t="shared" si="4"/>
        <v>12</v>
      </c>
      <c r="F82" s="26" t="str">
        <f t="shared" si="5"/>
        <v>OK</v>
      </c>
    </row>
    <row r="83" spans="1:6">
      <c r="A83" s="26" t="s">
        <v>3</v>
      </c>
      <c r="B83" s="26">
        <v>2</v>
      </c>
      <c r="E83" s="26">
        <f t="shared" si="4"/>
        <v>3</v>
      </c>
      <c r="F83" s="26" t="str">
        <f t="shared" si="5"/>
        <v>OK</v>
      </c>
    </row>
    <row r="84" spans="1:6">
      <c r="A84" s="26" t="s">
        <v>33</v>
      </c>
      <c r="B84" s="26">
        <v>2</v>
      </c>
      <c r="E84" s="26">
        <f t="shared" si="4"/>
        <v>4</v>
      </c>
      <c r="F84" s="26" t="str">
        <f t="shared" si="5"/>
        <v>OK</v>
      </c>
    </row>
    <row r="85" spans="1:6">
      <c r="A85" s="26" t="s">
        <v>5</v>
      </c>
      <c r="B85" s="26">
        <v>2</v>
      </c>
      <c r="E85" s="26">
        <f t="shared" si="4"/>
        <v>7</v>
      </c>
      <c r="F85" s="26" t="str">
        <f t="shared" si="5"/>
        <v>OK</v>
      </c>
    </row>
    <row r="86" spans="1:6">
      <c r="A86" s="26" t="s">
        <v>67</v>
      </c>
      <c r="B86" s="26">
        <v>4</v>
      </c>
      <c r="E86" s="26">
        <f t="shared" si="4"/>
        <v>5</v>
      </c>
      <c r="F86" s="26" t="str">
        <f t="shared" si="5"/>
        <v>OK</v>
      </c>
    </row>
    <row r="87" spans="1:6">
      <c r="A87" s="26" t="s">
        <v>75</v>
      </c>
      <c r="B87" s="26">
        <v>1</v>
      </c>
      <c r="C87" s="26" t="s">
        <v>304</v>
      </c>
      <c r="E87" s="26">
        <f t="shared" si="4"/>
        <v>3</v>
      </c>
      <c r="F87" s="26" t="str">
        <f t="shared" si="5"/>
        <v>OK</v>
      </c>
    </row>
    <row r="88" spans="1:6">
      <c r="A88" s="26" t="s">
        <v>39</v>
      </c>
      <c r="B88" s="26">
        <v>1</v>
      </c>
      <c r="E88" s="26">
        <f t="shared" si="4"/>
        <v>5</v>
      </c>
      <c r="F88" s="26" t="str">
        <f t="shared" si="5"/>
        <v>OK</v>
      </c>
    </row>
    <row r="89" spans="1:6">
      <c r="A89" s="26" t="s">
        <v>71</v>
      </c>
      <c r="B89" s="26">
        <v>1</v>
      </c>
      <c r="C89" s="26" t="s">
        <v>127</v>
      </c>
      <c r="E89" s="26">
        <f t="shared" si="4"/>
        <v>6</v>
      </c>
      <c r="F89" s="26" t="str">
        <f t="shared" si="5"/>
        <v>DUPLICATE</v>
      </c>
    </row>
    <row r="90" spans="1:6">
      <c r="A90" s="26" t="s">
        <v>308</v>
      </c>
      <c r="B90" s="26">
        <v>4</v>
      </c>
      <c r="E90" s="26">
        <f t="shared" si="4"/>
        <v>10</v>
      </c>
      <c r="F90" s="26" t="str">
        <f t="shared" si="5"/>
        <v>OK</v>
      </c>
    </row>
    <row r="91" spans="1:6">
      <c r="A91" s="26" t="s">
        <v>19</v>
      </c>
      <c r="B91" s="26">
        <v>1</v>
      </c>
      <c r="E91" s="26">
        <f t="shared" si="4"/>
        <v>8</v>
      </c>
      <c r="F91" s="26" t="str">
        <f t="shared" si="5"/>
        <v>OK</v>
      </c>
    </row>
    <row r="92" spans="1:6">
      <c r="A92" s="26" t="s">
        <v>31</v>
      </c>
      <c r="B92" s="26">
        <v>2</v>
      </c>
      <c r="C92" s="26" t="s">
        <v>125</v>
      </c>
      <c r="E92" s="26">
        <f t="shared" si="4"/>
        <v>6</v>
      </c>
      <c r="F92" s="26" t="str">
        <f t="shared" si="5"/>
        <v>OK</v>
      </c>
    </row>
    <row r="93" spans="1:6">
      <c r="A93" s="26" t="s">
        <v>44</v>
      </c>
      <c r="B93" s="26">
        <v>1</v>
      </c>
      <c r="E93" s="26">
        <f t="shared" si="4"/>
        <v>4</v>
      </c>
      <c r="F93" s="26" t="str">
        <f t="shared" si="5"/>
        <v>OK</v>
      </c>
    </row>
    <row r="94" spans="1:6">
      <c r="A94" s="26" t="s">
        <v>101</v>
      </c>
      <c r="B94" s="26">
        <v>1</v>
      </c>
      <c r="E94" s="26">
        <f t="shared" si="4"/>
        <v>7</v>
      </c>
      <c r="F94" s="26" t="str">
        <f t="shared" si="5"/>
        <v>OK</v>
      </c>
    </row>
    <row r="95" spans="1:6">
      <c r="A95" s="26" t="s">
        <v>305</v>
      </c>
      <c r="B95" s="26">
        <v>3</v>
      </c>
      <c r="E95" s="26">
        <f t="shared" si="4"/>
        <v>4</v>
      </c>
      <c r="F95" s="26" t="str">
        <f t="shared" si="5"/>
        <v>OK</v>
      </c>
    </row>
    <row r="96" spans="1:6">
      <c r="A96" s="26" t="s">
        <v>69</v>
      </c>
      <c r="B96" s="26">
        <v>1</v>
      </c>
      <c r="C96" s="26" t="s">
        <v>108</v>
      </c>
      <c r="E96" s="26">
        <f t="shared" si="4"/>
        <v>6</v>
      </c>
      <c r="F96" s="26" t="str">
        <f t="shared" si="5"/>
        <v>OK</v>
      </c>
    </row>
    <row r="97" spans="1:6">
      <c r="A97" s="26" t="s">
        <v>127</v>
      </c>
      <c r="B97" s="26">
        <v>4</v>
      </c>
      <c r="E97" s="26">
        <f t="shared" si="4"/>
        <v>6</v>
      </c>
      <c r="F97" s="26" t="str">
        <f t="shared" si="5"/>
        <v>DUPLICATE</v>
      </c>
    </row>
    <row r="98" spans="1:6">
      <c r="A98" s="26" t="s">
        <v>23</v>
      </c>
      <c r="B98" s="26">
        <v>1</v>
      </c>
      <c r="E98" s="26">
        <f t="shared" ref="E98:E129" si="6">LEN(A98)</f>
        <v>5</v>
      </c>
      <c r="F98" s="26" t="str">
        <f t="shared" ref="F98:F129" si="7">IF(OR((COUNTIF(A:A,C98)+COUNTIF(C:C,C98))&gt;1, (COUNTIF(A:A,A98)+COUNTIF(C:C,A98))&gt;1),"DUPLICATE","OK")</f>
        <v>OK</v>
      </c>
    </row>
    <row r="99" spans="1:6">
      <c r="A99" s="26" t="s">
        <v>291</v>
      </c>
      <c r="B99" s="26">
        <v>4</v>
      </c>
      <c r="E99" s="26">
        <f t="shared" si="6"/>
        <v>6</v>
      </c>
      <c r="F99" s="26" t="str">
        <f t="shared" si="7"/>
        <v>OK</v>
      </c>
    </row>
    <row r="100" spans="1:6">
      <c r="A100" s="26" t="s">
        <v>303</v>
      </c>
      <c r="B100" s="26">
        <v>4</v>
      </c>
      <c r="E100" s="26">
        <f t="shared" si="6"/>
        <v>8</v>
      </c>
      <c r="F100" s="26" t="str">
        <f t="shared" si="7"/>
        <v>OK</v>
      </c>
    </row>
    <row r="101" spans="1:6">
      <c r="A101" s="26" t="s">
        <v>11</v>
      </c>
      <c r="B101" s="26">
        <v>2</v>
      </c>
      <c r="C101" s="26" t="s">
        <v>202</v>
      </c>
      <c r="E101" s="26">
        <f t="shared" si="6"/>
        <v>7</v>
      </c>
      <c r="F101" s="26" t="str">
        <f t="shared" si="7"/>
        <v>OK</v>
      </c>
    </row>
    <row r="102" spans="1:6">
      <c r="A102" s="26" t="s">
        <v>25</v>
      </c>
      <c r="B102" s="26">
        <v>1</v>
      </c>
      <c r="C102" s="26" t="s">
        <v>201</v>
      </c>
      <c r="E102" s="26">
        <f t="shared" si="6"/>
        <v>3</v>
      </c>
      <c r="F102" s="26" t="str">
        <f t="shared" si="7"/>
        <v>OK</v>
      </c>
    </row>
    <row r="103" spans="1:6">
      <c r="A103" s="26" t="s">
        <v>231</v>
      </c>
      <c r="B103" s="26">
        <v>3</v>
      </c>
      <c r="E103" s="26">
        <f t="shared" si="6"/>
        <v>7</v>
      </c>
      <c r="F103" s="26" t="str">
        <f t="shared" si="7"/>
        <v>OK</v>
      </c>
    </row>
    <row r="104" spans="1:6">
      <c r="A104" s="26" t="s">
        <v>106</v>
      </c>
      <c r="B104" s="26">
        <v>3</v>
      </c>
      <c r="E104" s="26">
        <f t="shared" si="6"/>
        <v>7</v>
      </c>
      <c r="F104" s="26" t="str">
        <f t="shared" si="7"/>
        <v>OK</v>
      </c>
    </row>
    <row r="105" spans="1:6">
      <c r="A105" s="26" t="s">
        <v>234</v>
      </c>
      <c r="B105" s="26">
        <v>4</v>
      </c>
      <c r="E105" s="26">
        <f t="shared" si="6"/>
        <v>4</v>
      </c>
      <c r="F105" s="26" t="str">
        <f t="shared" si="7"/>
        <v>OK</v>
      </c>
    </row>
    <row r="106" spans="1:6">
      <c r="A106" s="26" t="s">
        <v>51</v>
      </c>
      <c r="B106" s="26">
        <v>1</v>
      </c>
      <c r="E106" s="26">
        <f t="shared" si="6"/>
        <v>5</v>
      </c>
      <c r="F106" s="26" t="str">
        <f t="shared" si="7"/>
        <v>OK</v>
      </c>
    </row>
    <row r="107" spans="1:6">
      <c r="A107" s="26" t="s">
        <v>27</v>
      </c>
      <c r="B107" s="26">
        <v>2</v>
      </c>
      <c r="C107" s="26" t="s">
        <v>222</v>
      </c>
      <c r="E107" s="26">
        <f t="shared" si="6"/>
        <v>4</v>
      </c>
      <c r="F107" s="26" t="str">
        <f t="shared" si="7"/>
        <v>OK</v>
      </c>
    </row>
    <row r="108" spans="1:6">
      <c r="A108" s="26" t="s">
        <v>112</v>
      </c>
      <c r="B108" s="26">
        <v>3</v>
      </c>
      <c r="C108" s="26" t="s">
        <v>116</v>
      </c>
      <c r="E108" s="26">
        <f t="shared" si="6"/>
        <v>8</v>
      </c>
      <c r="F108" s="26" t="str">
        <f t="shared" si="7"/>
        <v>OK</v>
      </c>
    </row>
    <row r="109" spans="1:6">
      <c r="A109" s="26" t="s">
        <v>200</v>
      </c>
      <c r="B109" s="26">
        <v>2</v>
      </c>
      <c r="C109" s="26" t="s">
        <v>107</v>
      </c>
      <c r="E109" s="26">
        <f t="shared" si="6"/>
        <v>5</v>
      </c>
      <c r="F109" s="26" t="str">
        <f t="shared" si="7"/>
        <v>OK</v>
      </c>
    </row>
    <row r="110" spans="1:6">
      <c r="A110" s="26" t="s">
        <v>237</v>
      </c>
      <c r="B110" s="26">
        <v>3</v>
      </c>
      <c r="E110" s="26">
        <f t="shared" si="6"/>
        <v>5</v>
      </c>
      <c r="F110" s="26" t="str">
        <f t="shared" si="7"/>
        <v>OK</v>
      </c>
    </row>
    <row r="111" spans="1:6">
      <c r="A111" s="26" t="s">
        <v>64</v>
      </c>
      <c r="B111" s="26">
        <v>2</v>
      </c>
      <c r="E111" s="26">
        <f t="shared" si="6"/>
        <v>5</v>
      </c>
      <c r="F111" s="26" t="str">
        <f t="shared" si="7"/>
        <v>OK</v>
      </c>
    </row>
    <row r="112" spans="1:6">
      <c r="A112" s="26" t="s">
        <v>113</v>
      </c>
      <c r="B112" s="26">
        <v>3</v>
      </c>
      <c r="E112" s="26">
        <f t="shared" si="6"/>
        <v>7</v>
      </c>
      <c r="F112" s="26" t="str">
        <f t="shared" si="7"/>
        <v>OK</v>
      </c>
    </row>
    <row r="113" spans="1:6">
      <c r="A113" s="26" t="s">
        <v>42</v>
      </c>
      <c r="B113" s="26">
        <v>1</v>
      </c>
      <c r="E113" s="26">
        <f t="shared" si="6"/>
        <v>8</v>
      </c>
      <c r="F113" s="26" t="str">
        <f t="shared" si="7"/>
        <v>OK</v>
      </c>
    </row>
    <row r="114" spans="1:6">
      <c r="A114" s="26" t="s">
        <v>128</v>
      </c>
      <c r="B114" s="26">
        <v>4</v>
      </c>
      <c r="E114" s="26">
        <f t="shared" si="6"/>
        <v>12</v>
      </c>
      <c r="F114" s="26" t="str">
        <f t="shared" si="7"/>
        <v>OK</v>
      </c>
    </row>
    <row r="115" spans="1:6">
      <c r="A115" s="26" t="s">
        <v>40</v>
      </c>
      <c r="B115" s="26">
        <v>1</v>
      </c>
      <c r="E115" s="26">
        <f t="shared" si="6"/>
        <v>5</v>
      </c>
      <c r="F115" s="26" t="str">
        <f t="shared" si="7"/>
        <v>OK</v>
      </c>
    </row>
    <row r="116" spans="1:6">
      <c r="A116" s="26" t="s">
        <v>9</v>
      </c>
      <c r="B116" s="26">
        <v>2</v>
      </c>
      <c r="E116" s="26">
        <f t="shared" si="6"/>
        <v>9</v>
      </c>
      <c r="F116" s="26" t="str">
        <f t="shared" si="7"/>
        <v>OK</v>
      </c>
    </row>
    <row r="117" spans="1:6">
      <c r="A117" s="26" t="s">
        <v>77</v>
      </c>
      <c r="B117" s="26">
        <v>1</v>
      </c>
      <c r="E117" s="26">
        <f t="shared" si="6"/>
        <v>6</v>
      </c>
      <c r="F117" s="26" t="str">
        <f t="shared" si="7"/>
        <v>OK</v>
      </c>
    </row>
    <row r="118" spans="1:6">
      <c r="A118" s="26" t="s">
        <v>88</v>
      </c>
      <c r="B118" s="26">
        <v>4</v>
      </c>
      <c r="E118" s="26">
        <f t="shared" si="6"/>
        <v>6</v>
      </c>
      <c r="F118" s="26" t="str">
        <f t="shared" si="7"/>
        <v>OK</v>
      </c>
    </row>
    <row r="119" spans="1:6">
      <c r="A119" s="26" t="s">
        <v>102</v>
      </c>
      <c r="B119" s="26">
        <v>1</v>
      </c>
      <c r="C119" s="26" t="s">
        <v>119</v>
      </c>
      <c r="E119" s="26">
        <f t="shared" si="6"/>
        <v>4</v>
      </c>
      <c r="F119" s="26" t="str">
        <f t="shared" si="7"/>
        <v>OK</v>
      </c>
    </row>
    <row r="120" spans="1:6">
      <c r="A120" s="26" t="s">
        <v>92</v>
      </c>
      <c r="B120" s="26">
        <v>3</v>
      </c>
      <c r="C120" s="26" t="s">
        <v>87</v>
      </c>
      <c r="E120" s="26">
        <f t="shared" si="6"/>
        <v>5</v>
      </c>
      <c r="F120" s="26" t="str">
        <f t="shared" si="7"/>
        <v>OK</v>
      </c>
    </row>
    <row r="121" spans="1:6">
      <c r="A121" s="26" t="s">
        <v>89</v>
      </c>
      <c r="B121" s="26">
        <v>4</v>
      </c>
      <c r="E121" s="26">
        <f t="shared" si="6"/>
        <v>6</v>
      </c>
      <c r="F121" s="26" t="str">
        <f t="shared" si="7"/>
        <v>OK</v>
      </c>
    </row>
    <row r="122" spans="1:6">
      <c r="A122" s="26" t="s">
        <v>312</v>
      </c>
      <c r="B122" s="26">
        <v>2</v>
      </c>
      <c r="E122" s="26">
        <f t="shared" si="6"/>
        <v>3</v>
      </c>
      <c r="F122" s="26" t="str">
        <f t="shared" si="7"/>
        <v>OK</v>
      </c>
    </row>
    <row r="123" spans="1:6">
      <c r="A123" s="26" t="s">
        <v>14</v>
      </c>
      <c r="B123" s="26">
        <v>2</v>
      </c>
      <c r="E123" s="26">
        <f t="shared" si="6"/>
        <v>4</v>
      </c>
      <c r="F123" s="26" t="str">
        <f t="shared" si="7"/>
        <v>OK</v>
      </c>
    </row>
    <row r="124" spans="1:6">
      <c r="A124" s="26" t="s">
        <v>72</v>
      </c>
      <c r="B124" s="26">
        <v>2</v>
      </c>
      <c r="E124" s="26">
        <f t="shared" si="6"/>
        <v>5</v>
      </c>
      <c r="F124" s="26" t="str">
        <f t="shared" si="7"/>
        <v>OK</v>
      </c>
    </row>
    <row r="125" spans="1:6">
      <c r="A125" s="26" t="s">
        <v>307</v>
      </c>
      <c r="B125" s="26">
        <v>3</v>
      </c>
      <c r="E125" s="26">
        <f t="shared" si="6"/>
        <v>6</v>
      </c>
      <c r="F125" s="26" t="str">
        <f t="shared" si="7"/>
        <v>OK</v>
      </c>
    </row>
    <row r="126" spans="1:6">
      <c r="A126" s="26" t="s">
        <v>284</v>
      </c>
      <c r="B126" s="26">
        <v>4</v>
      </c>
      <c r="E126" s="26">
        <f t="shared" si="6"/>
        <v>5</v>
      </c>
      <c r="F126" s="26" t="str">
        <f t="shared" si="7"/>
        <v>OK</v>
      </c>
    </row>
    <row r="127" spans="1:6">
      <c r="A127" s="26" t="s">
        <v>1</v>
      </c>
      <c r="B127" s="26">
        <v>1</v>
      </c>
      <c r="C127" s="26" t="s">
        <v>126</v>
      </c>
      <c r="E127" s="26">
        <f t="shared" si="6"/>
        <v>3</v>
      </c>
      <c r="F127" s="26" t="str">
        <f t="shared" si="7"/>
        <v>OK</v>
      </c>
    </row>
    <row r="128" spans="1:6">
      <c r="A128" s="26" t="s">
        <v>73</v>
      </c>
      <c r="B128" s="26">
        <v>1</v>
      </c>
      <c r="E128" s="26">
        <f t="shared" si="6"/>
        <v>10</v>
      </c>
      <c r="F128" s="26" t="str">
        <f t="shared" si="7"/>
        <v>OK</v>
      </c>
    </row>
    <row r="129" spans="1:6">
      <c r="A129" s="26" t="s">
        <v>273</v>
      </c>
      <c r="B129" s="26">
        <v>3</v>
      </c>
      <c r="E129" s="26">
        <f t="shared" si="6"/>
        <v>4</v>
      </c>
      <c r="F129" s="26" t="str">
        <f t="shared" si="7"/>
        <v>OK</v>
      </c>
    </row>
    <row r="130" spans="1:6">
      <c r="A130" s="26" t="s">
        <v>228</v>
      </c>
      <c r="B130" s="26">
        <v>3</v>
      </c>
      <c r="C130" s="26" t="s">
        <v>321</v>
      </c>
      <c r="E130" s="26">
        <f t="shared" ref="E130:E164" si="8">LEN(A130)</f>
        <v>5</v>
      </c>
      <c r="F130" s="26" t="str">
        <f t="shared" ref="F130:F164" si="9">IF(OR((COUNTIF(A:A,C130)+COUNTIF(C:C,C130))&gt;1, (COUNTIF(A:A,A130)+COUNTIF(C:C,A130))&gt;1),"DUPLICATE","OK")</f>
        <v>DUPLICATE</v>
      </c>
    </row>
    <row r="131" spans="1:6">
      <c r="A131" s="26" t="s">
        <v>34</v>
      </c>
      <c r="B131" s="26">
        <v>1</v>
      </c>
      <c r="E131" s="26">
        <f t="shared" si="8"/>
        <v>6</v>
      </c>
      <c r="F131" s="26" t="str">
        <f t="shared" si="9"/>
        <v>OK</v>
      </c>
    </row>
    <row r="132" spans="1:6">
      <c r="A132" s="26" t="s">
        <v>37</v>
      </c>
      <c r="B132" s="26">
        <v>1</v>
      </c>
      <c r="C132" s="26" t="s">
        <v>114</v>
      </c>
      <c r="E132" s="26">
        <f t="shared" si="8"/>
        <v>5</v>
      </c>
      <c r="F132" s="26" t="str">
        <f t="shared" si="9"/>
        <v>OK</v>
      </c>
    </row>
    <row r="133" spans="1:6">
      <c r="A133" s="26" t="s">
        <v>103</v>
      </c>
      <c r="B133" s="26">
        <v>4</v>
      </c>
      <c r="E133" s="26">
        <f t="shared" si="8"/>
        <v>8</v>
      </c>
      <c r="F133" s="26" t="str">
        <f t="shared" si="9"/>
        <v>OK</v>
      </c>
    </row>
    <row r="134" spans="1:6">
      <c r="A134" s="26" t="s">
        <v>36</v>
      </c>
      <c r="B134" s="26">
        <v>1</v>
      </c>
      <c r="C134" s="26" t="s">
        <v>122</v>
      </c>
      <c r="E134" s="26">
        <f t="shared" si="8"/>
        <v>4</v>
      </c>
      <c r="F134" s="26" t="str">
        <f t="shared" si="9"/>
        <v>OK</v>
      </c>
    </row>
    <row r="135" spans="1:6">
      <c r="A135" s="26" t="s">
        <v>13</v>
      </c>
      <c r="B135" s="26">
        <v>2</v>
      </c>
      <c r="C135" s="26" t="s">
        <v>239</v>
      </c>
      <c r="D135" s="26">
        <v>2</v>
      </c>
      <c r="E135" s="26">
        <f t="shared" si="8"/>
        <v>5</v>
      </c>
      <c r="F135" s="26" t="str">
        <f t="shared" si="9"/>
        <v>OK</v>
      </c>
    </row>
    <row r="136" spans="1:6">
      <c r="A136" s="26" t="s">
        <v>63</v>
      </c>
      <c r="B136" s="26">
        <v>2</v>
      </c>
      <c r="C136" s="26" t="s">
        <v>109</v>
      </c>
      <c r="E136" s="26">
        <f t="shared" si="8"/>
        <v>6</v>
      </c>
      <c r="F136" s="26" t="str">
        <f t="shared" si="9"/>
        <v>OK</v>
      </c>
    </row>
    <row r="137" spans="1:6">
      <c r="A137" s="26" t="s">
        <v>43</v>
      </c>
      <c r="B137" s="26">
        <v>2</v>
      </c>
      <c r="E137" s="26">
        <f t="shared" si="8"/>
        <v>8</v>
      </c>
      <c r="F137" s="26" t="str">
        <f t="shared" si="9"/>
        <v>OK</v>
      </c>
    </row>
    <row r="138" spans="1:6">
      <c r="A138" s="26" t="s">
        <v>10</v>
      </c>
      <c r="B138" s="26">
        <v>3</v>
      </c>
      <c r="C138" s="26" t="s">
        <v>260</v>
      </c>
      <c r="E138" s="26">
        <f t="shared" si="8"/>
        <v>3</v>
      </c>
      <c r="F138" s="26" t="str">
        <f t="shared" si="9"/>
        <v>OK</v>
      </c>
    </row>
    <row r="139" spans="1:6">
      <c r="A139" s="26" t="s">
        <v>285</v>
      </c>
      <c r="B139" s="26">
        <v>3</v>
      </c>
      <c r="E139" s="26">
        <f t="shared" si="8"/>
        <v>4</v>
      </c>
      <c r="F139" s="26" t="str">
        <f t="shared" si="9"/>
        <v>OK</v>
      </c>
    </row>
    <row r="140" spans="1:6">
      <c r="A140" s="26" t="s">
        <v>286</v>
      </c>
      <c r="B140" s="26">
        <v>2</v>
      </c>
      <c r="E140" s="26">
        <f t="shared" si="8"/>
        <v>5</v>
      </c>
      <c r="F140" s="26" t="str">
        <f t="shared" si="9"/>
        <v>OK</v>
      </c>
    </row>
    <row r="141" spans="1:6">
      <c r="A141" s="26" t="s">
        <v>83</v>
      </c>
      <c r="B141" s="26">
        <v>4</v>
      </c>
      <c r="E141" s="26">
        <f t="shared" si="8"/>
        <v>10</v>
      </c>
      <c r="F141" s="26" t="str">
        <f t="shared" si="9"/>
        <v>OK</v>
      </c>
    </row>
    <row r="142" spans="1:6">
      <c r="A142" s="26" t="s">
        <v>236</v>
      </c>
      <c r="B142" s="26">
        <v>3</v>
      </c>
      <c r="E142" s="26">
        <f t="shared" si="8"/>
        <v>5</v>
      </c>
      <c r="F142" s="26" t="str">
        <f t="shared" si="9"/>
        <v>OK</v>
      </c>
    </row>
    <row r="143" spans="1:6">
      <c r="A143" s="26" t="s">
        <v>288</v>
      </c>
      <c r="B143" s="26">
        <v>2</v>
      </c>
      <c r="E143" s="26">
        <f t="shared" si="8"/>
        <v>6</v>
      </c>
      <c r="F143" s="26" t="str">
        <f t="shared" si="9"/>
        <v>OK</v>
      </c>
    </row>
    <row r="144" spans="1:6">
      <c r="A144" s="26" t="s">
        <v>91</v>
      </c>
      <c r="B144" s="26">
        <v>4</v>
      </c>
      <c r="C144" s="26" t="s">
        <v>118</v>
      </c>
      <c r="E144" s="26">
        <f t="shared" si="8"/>
        <v>6</v>
      </c>
      <c r="F144" s="26" t="str">
        <f t="shared" si="9"/>
        <v>OK</v>
      </c>
    </row>
    <row r="145" spans="1:6">
      <c r="A145" s="26" t="s">
        <v>323</v>
      </c>
      <c r="B145" s="26">
        <v>3</v>
      </c>
      <c r="C145" s="26" t="s">
        <v>324</v>
      </c>
      <c r="E145" s="26">
        <f t="shared" si="8"/>
        <v>4</v>
      </c>
      <c r="F145" s="26" t="str">
        <f t="shared" si="9"/>
        <v>OK</v>
      </c>
    </row>
    <row r="146" spans="1:6">
      <c r="A146" s="26" t="s">
        <v>79</v>
      </c>
      <c r="B146" s="26">
        <v>2</v>
      </c>
      <c r="C146" s="26" t="s">
        <v>93</v>
      </c>
      <c r="E146" s="26">
        <f t="shared" si="8"/>
        <v>4</v>
      </c>
      <c r="F146" s="26" t="str">
        <f t="shared" si="9"/>
        <v>OK</v>
      </c>
    </row>
    <row r="147" spans="1:6">
      <c r="A147" s="26" t="s">
        <v>229</v>
      </c>
      <c r="B147" s="26">
        <v>2</v>
      </c>
      <c r="E147" s="26">
        <f t="shared" si="8"/>
        <v>5</v>
      </c>
      <c r="F147" s="26" t="str">
        <f t="shared" si="9"/>
        <v>OK</v>
      </c>
    </row>
    <row r="148" spans="1:6">
      <c r="A148" s="26" t="s">
        <v>311</v>
      </c>
      <c r="B148" s="26">
        <v>4</v>
      </c>
      <c r="E148" s="26">
        <f t="shared" si="8"/>
        <v>3</v>
      </c>
      <c r="F148" s="26" t="str">
        <f t="shared" si="9"/>
        <v>OK</v>
      </c>
    </row>
    <row r="149" spans="1:6">
      <c r="A149" s="26" t="s">
        <v>327</v>
      </c>
      <c r="B149" s="26">
        <v>4</v>
      </c>
      <c r="E149" s="26">
        <f t="shared" si="8"/>
        <v>5</v>
      </c>
      <c r="F149" s="26" t="str">
        <f t="shared" si="9"/>
        <v>OK</v>
      </c>
    </row>
    <row r="150" spans="1:6">
      <c r="A150" s="26" t="s">
        <v>328</v>
      </c>
      <c r="B150" s="26">
        <v>4</v>
      </c>
      <c r="E150" s="26">
        <f t="shared" si="8"/>
        <v>5</v>
      </c>
      <c r="F150" s="26" t="str">
        <f t="shared" si="9"/>
        <v>OK</v>
      </c>
    </row>
    <row r="151" spans="1:6">
      <c r="A151" s="26" t="s">
        <v>329</v>
      </c>
      <c r="B151" s="26">
        <v>3</v>
      </c>
      <c r="E151" s="26">
        <f t="shared" si="8"/>
        <v>8</v>
      </c>
      <c r="F151" s="26" t="str">
        <f t="shared" si="9"/>
        <v>OK</v>
      </c>
    </row>
    <row r="152" spans="1:6">
      <c r="A152" s="26" t="s">
        <v>330</v>
      </c>
      <c r="B152" s="26">
        <v>4</v>
      </c>
      <c r="E152" s="26">
        <f t="shared" si="8"/>
        <v>7</v>
      </c>
      <c r="F152" s="26" t="str">
        <f t="shared" si="9"/>
        <v>OK</v>
      </c>
    </row>
    <row r="153" spans="1:6">
      <c r="A153" s="26" t="s">
        <v>331</v>
      </c>
      <c r="B153" s="26">
        <v>3</v>
      </c>
      <c r="E153" s="26">
        <f t="shared" si="8"/>
        <v>5</v>
      </c>
      <c r="F153" s="26" t="str">
        <f t="shared" si="9"/>
        <v>OK</v>
      </c>
    </row>
    <row r="154" spans="1:6">
      <c r="A154" s="26" t="s">
        <v>332</v>
      </c>
      <c r="B154" s="26">
        <v>4</v>
      </c>
      <c r="E154" s="26">
        <f t="shared" si="8"/>
        <v>4</v>
      </c>
      <c r="F154" s="26" t="str">
        <f t="shared" si="9"/>
        <v>OK</v>
      </c>
    </row>
    <row r="155" spans="1:6">
      <c r="A155" s="26" t="s">
        <v>333</v>
      </c>
      <c r="B155" s="26">
        <v>3</v>
      </c>
      <c r="E155" s="26">
        <f t="shared" si="8"/>
        <v>3</v>
      </c>
      <c r="F155" s="26" t="str">
        <f t="shared" si="9"/>
        <v>OK</v>
      </c>
    </row>
    <row r="156" spans="1:6">
      <c r="A156" s="26" t="s">
        <v>334</v>
      </c>
      <c r="B156" s="26">
        <v>2</v>
      </c>
      <c r="E156" s="26">
        <f t="shared" si="8"/>
        <v>7</v>
      </c>
      <c r="F156" s="26" t="str">
        <f t="shared" si="9"/>
        <v>OK</v>
      </c>
    </row>
    <row r="157" spans="1:6">
      <c r="A157" s="26" t="s">
        <v>335</v>
      </c>
      <c r="B157" s="26">
        <v>1</v>
      </c>
      <c r="E157" s="26">
        <f t="shared" si="8"/>
        <v>3</v>
      </c>
      <c r="F157" s="26" t="str">
        <f t="shared" si="9"/>
        <v>OK</v>
      </c>
    </row>
    <row r="158" spans="1:6">
      <c r="A158" s="26" t="s">
        <v>336</v>
      </c>
      <c r="B158" s="26">
        <v>4</v>
      </c>
      <c r="E158" s="26">
        <f t="shared" si="8"/>
        <v>8</v>
      </c>
      <c r="F158" s="26" t="str">
        <f t="shared" si="9"/>
        <v>OK</v>
      </c>
    </row>
    <row r="159" spans="1:6">
      <c r="A159" s="26" t="s">
        <v>337</v>
      </c>
      <c r="B159" s="26">
        <v>2</v>
      </c>
      <c r="E159" s="26">
        <f t="shared" si="8"/>
        <v>4</v>
      </c>
      <c r="F159" s="26" t="str">
        <f t="shared" si="9"/>
        <v>OK</v>
      </c>
    </row>
    <row r="160" spans="1:6">
      <c r="A160" s="26" t="s">
        <v>338</v>
      </c>
      <c r="B160" s="26">
        <v>2</v>
      </c>
      <c r="E160" s="26">
        <f t="shared" si="8"/>
        <v>5</v>
      </c>
      <c r="F160" s="26" t="str">
        <f t="shared" si="9"/>
        <v>OK</v>
      </c>
    </row>
    <row r="161" spans="1:6">
      <c r="A161" s="26" t="s">
        <v>339</v>
      </c>
      <c r="B161" s="26">
        <v>3</v>
      </c>
      <c r="E161" s="26">
        <f t="shared" si="8"/>
        <v>5</v>
      </c>
      <c r="F161" s="26" t="str">
        <f t="shared" si="9"/>
        <v>OK</v>
      </c>
    </row>
    <row r="162" spans="1:6">
      <c r="A162" s="26" t="s">
        <v>340</v>
      </c>
      <c r="B162" s="26">
        <v>3</v>
      </c>
      <c r="E162" s="26">
        <f t="shared" si="8"/>
        <v>4</v>
      </c>
      <c r="F162" s="26" t="str">
        <f t="shared" si="9"/>
        <v>OK</v>
      </c>
    </row>
    <row r="163" spans="1:6">
      <c r="A163" s="26" t="s">
        <v>341</v>
      </c>
      <c r="B163" s="26">
        <v>3</v>
      </c>
      <c r="E163" s="26">
        <f t="shared" si="8"/>
        <v>5</v>
      </c>
      <c r="F163" s="26" t="str">
        <f t="shared" si="9"/>
        <v>OK</v>
      </c>
    </row>
    <row r="164" spans="1:6">
      <c r="A164" s="26" t="s">
        <v>342</v>
      </c>
      <c r="B164" s="26">
        <v>3</v>
      </c>
      <c r="E164" s="26">
        <f t="shared" si="8"/>
        <v>3</v>
      </c>
      <c r="F164" s="26" t="str">
        <f t="shared" si="9"/>
        <v>OK</v>
      </c>
    </row>
  </sheetData>
  <autoFilter ref="A1:F147" xr:uid="{C45AD09C-C55B-4BDB-BDA8-AE18067447C7}">
    <sortState xmlns:xlrd2="http://schemas.microsoft.com/office/spreadsheetml/2017/richdata2" ref="A2:F148">
      <sortCondition ref="A1:A147"/>
    </sortState>
  </autoFilter>
  <sortState xmlns:xlrd2="http://schemas.microsoft.com/office/spreadsheetml/2017/richdata2" ref="A2:F88">
    <sortCondition ref="A1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CD63B-7408-4291-855A-5F7241845397}">
  <sheetPr codeName="Sheet2"/>
  <dimension ref="A1:N17"/>
  <sheetViews>
    <sheetView showGridLines="0" workbookViewId="0">
      <selection activeCell="A10" sqref="A10"/>
    </sheetView>
  </sheetViews>
  <sheetFormatPr defaultRowHeight="15"/>
  <cols>
    <col min="1" max="1" width="4.7109375" bestFit="1" customWidth="1"/>
    <col min="2" max="2" width="11" customWidth="1"/>
    <col min="3" max="3" width="15.42578125" customWidth="1"/>
    <col min="4" max="4" width="21.85546875" customWidth="1"/>
    <col min="5" max="5" width="17" customWidth="1"/>
    <col min="6" max="6" width="2.85546875" customWidth="1"/>
    <col min="7" max="7" width="5.140625" style="19" customWidth="1"/>
    <col min="8" max="8" width="28" customWidth="1"/>
    <col min="9" max="9" width="39.140625" customWidth="1"/>
    <col min="10" max="10" width="5.140625" customWidth="1"/>
    <col min="11" max="11" width="2.28515625" customWidth="1"/>
  </cols>
  <sheetData>
    <row r="1" spans="1:14" ht="35.25">
      <c r="G1" s="16"/>
      <c r="I1" s="4"/>
    </row>
    <row r="2" spans="1:14" ht="36" thickBot="1">
      <c r="G2" s="16"/>
      <c r="H2" s="4"/>
      <c r="I2" s="4"/>
      <c r="J2" s="4"/>
    </row>
    <row r="3" spans="1:14" ht="35.25">
      <c r="A3" s="36" t="s">
        <v>224</v>
      </c>
      <c r="B3" s="37" t="s">
        <v>225</v>
      </c>
      <c r="C3" s="37" t="s">
        <v>226</v>
      </c>
      <c r="D3" s="38" t="s">
        <v>227</v>
      </c>
      <c r="E3" s="26"/>
      <c r="F3" s="6"/>
      <c r="G3" s="17"/>
      <c r="H3" s="7"/>
      <c r="I3" s="21" t="s">
        <v>272</v>
      </c>
      <c r="J3" s="7"/>
      <c r="K3" s="8"/>
      <c r="L3" s="15"/>
      <c r="M3" s="15"/>
    </row>
    <row r="4" spans="1:14" s="5" customFormat="1" ht="42.75" customHeight="1">
      <c r="A4" s="29">
        <f ca="1">+INT(RANDBETWEEN(1,COUNTA(Words!$I:$I)))</f>
        <v>2</v>
      </c>
      <c r="B4" s="30" t="str" cm="1">
        <f t="array" aca="1" ref="B4" ca="1">INDEX(Words!$I:$I,A4)</f>
        <v>apple</v>
      </c>
      <c r="C4" s="28" t="str">
        <f ca="1">VLOOKUP($B4,Words!$A:$F,4,0)&amp;""</f>
        <v/>
      </c>
      <c r="D4" s="31" t="str">
        <f ca="1">VLOOKUP($B4,Words!$A:$F,3,0)&amp;""</f>
        <v>apple juice</v>
      </c>
      <c r="E4" s="27"/>
      <c r="F4" s="9"/>
      <c r="G4" s="25">
        <f ca="1">VLOOKUP($B4,Words!$A:$F,2,0)</f>
        <v>1</v>
      </c>
      <c r="H4" s="22" t="str">
        <f ca="1">+UPPER(LEFT($B4,1))&amp;LOWER(RIGHT(B4,LEN(B4)-1))</f>
        <v>Apple</v>
      </c>
      <c r="I4" s="22" t="str">
        <f ca="1">IFERROR(UPPER(LEFT($D4,1))&amp;LOWER(RIGHT(D4,LEN(D4)-1)),"")</f>
        <v>Apple juice</v>
      </c>
      <c r="J4" s="25" t="str">
        <f ca="1">IF(AND(C4&lt;&gt;"",I4&lt;&gt;""),"+"&amp;C4,IF(TRIM(I4)&lt;&gt;""," +1",""))</f>
        <v xml:space="preserve"> +1</v>
      </c>
      <c r="K4" s="11"/>
      <c r="L4" s="14"/>
      <c r="M4" s="14"/>
    </row>
    <row r="5" spans="1:14" s="5" customFormat="1" ht="42.75" customHeight="1">
      <c r="A5" s="29">
        <f ca="1">+INT(RANDBETWEEN(1,COUNTA(Words!$K:$K)))</f>
        <v>16</v>
      </c>
      <c r="B5" s="30" t="str" cm="1">
        <f t="array" aca="1" ref="B5" ca="1">INDEX(Words!$K:$K,A5)</f>
        <v>hair</v>
      </c>
      <c r="C5" s="28" t="str">
        <f ca="1">VLOOKUP($B5,Words!$A:$F,4,0)&amp;""</f>
        <v/>
      </c>
      <c r="D5" s="31" t="str">
        <f ca="1">VLOOKUP($B5,Words!$A:$F,3,0)&amp;""</f>
        <v/>
      </c>
      <c r="E5" s="27"/>
      <c r="F5" s="9"/>
      <c r="G5" s="25">
        <f ca="1">VLOOKUP($B5,Words!$A:$F,2,0)</f>
        <v>2</v>
      </c>
      <c r="H5" s="22" t="str">
        <f ca="1">+UPPER(LEFT($B5,1))&amp;LOWER(RIGHT(B5,LEN(B5)-1))</f>
        <v>Hair</v>
      </c>
      <c r="I5" s="22" t="str">
        <f ca="1">IFERROR(UPPER(LEFT($D5,1))&amp;LOWER(RIGHT(D5,LEN(D5)-1)),"")</f>
        <v/>
      </c>
      <c r="J5" s="25" t="str">
        <f t="shared" ref="J5:J7" ca="1" si="0">IF(AND(C5&lt;&gt;"",I5&lt;&gt;""),"+"&amp;C5,IF(TRIM(I5)&lt;&gt;""," +1",""))</f>
        <v/>
      </c>
      <c r="K5" s="11"/>
      <c r="L5" s="14"/>
      <c r="M5" s="14"/>
    </row>
    <row r="6" spans="1:14" s="5" customFormat="1" ht="42.75" customHeight="1">
      <c r="A6" s="29">
        <f ca="1">+INT(RANDBETWEEN(1,COUNTA(Words!$M:$M)))</f>
        <v>3</v>
      </c>
      <c r="B6" s="30" t="str" cm="1">
        <f t="array" aca="1" ref="B6" ca="1">INDEX(Words!$M:$M,A6)</f>
        <v>bridge</v>
      </c>
      <c r="C6" s="28" t="str">
        <f ca="1">VLOOKUP($B6,Words!$A:$F,4,0)&amp;""</f>
        <v/>
      </c>
      <c r="D6" s="31" t="str">
        <f ca="1">VLOOKUP($B6,Words!$A:$F,3,0)&amp;""</f>
        <v>bridge troll</v>
      </c>
      <c r="E6" s="27"/>
      <c r="F6" s="9"/>
      <c r="G6" s="25">
        <f ca="1">VLOOKUP($B6,Words!$A:$F,2,0)</f>
        <v>3</v>
      </c>
      <c r="H6" s="22" t="str">
        <f ca="1">+UPPER(LEFT($B6,1))&amp;LOWER(RIGHT(B6,LEN(B6)-1))</f>
        <v>Bridge</v>
      </c>
      <c r="I6" s="22" t="str">
        <f ca="1">IFERROR(UPPER(LEFT($D6,1))&amp;LOWER(RIGHT(D6,LEN(D6)-1)),"")</f>
        <v>Bridge troll</v>
      </c>
      <c r="J6" s="25" t="str">
        <f t="shared" ca="1" si="0"/>
        <v xml:space="preserve"> +1</v>
      </c>
      <c r="K6" s="11"/>
      <c r="L6" s="14"/>
      <c r="M6" s="14"/>
    </row>
    <row r="7" spans="1:14" s="5" customFormat="1" ht="42.75" customHeight="1">
      <c r="A7" s="32">
        <f ca="1">+INT(RANDBETWEEN(1,COUNTA(Words!$O:$O)))</f>
        <v>5</v>
      </c>
      <c r="B7" s="33" t="str" cm="1">
        <f t="array" aca="1" ref="B7" ca="1">INDEX(Words!$O:$O,A7)</f>
        <v>bouncy ball</v>
      </c>
      <c r="C7" s="34" t="str">
        <f ca="1">VLOOKUP($B7,Words!$A:$F,4,0)&amp;""</f>
        <v/>
      </c>
      <c r="D7" s="35" t="str">
        <f ca="1">VLOOKUP($B7,Words!$A:$F,3,0)&amp;""</f>
        <v/>
      </c>
      <c r="E7" s="27"/>
      <c r="F7" s="9"/>
      <c r="G7" s="25">
        <f ca="1">VLOOKUP($B7,Words!$A:$F,2,0)</f>
        <v>4</v>
      </c>
      <c r="H7" s="22" t="str">
        <f ca="1">+UPPER(LEFT($B7,1))&amp;LOWER(RIGHT(B7,LEN(B7)-1))</f>
        <v>Bouncy ball</v>
      </c>
      <c r="I7" s="22" t="str">
        <f ca="1">IFERROR(UPPER(LEFT($D7,1))&amp;LOWER(RIGHT(D7,LEN(D7)-1)),"")</f>
        <v/>
      </c>
      <c r="J7" s="25" t="str">
        <f t="shared" ca="1" si="0"/>
        <v/>
      </c>
      <c r="K7" s="11"/>
      <c r="L7" s="14"/>
      <c r="M7" s="14"/>
    </row>
    <row r="8" spans="1:14" ht="12" customHeight="1" thickBot="1">
      <c r="A8" s="26"/>
      <c r="B8" s="26"/>
      <c r="C8" s="26"/>
      <c r="D8" s="26"/>
      <c r="E8" s="26"/>
      <c r="F8" s="12"/>
      <c r="G8" s="23"/>
      <c r="H8" s="24"/>
      <c r="I8" s="24"/>
      <c r="J8" s="24"/>
      <c r="K8" s="13"/>
      <c r="L8" s="15"/>
      <c r="M8" s="15"/>
    </row>
    <row r="9" spans="1:14">
      <c r="F9" s="15"/>
      <c r="G9" s="18"/>
      <c r="H9" s="15"/>
      <c r="I9" s="15"/>
      <c r="J9" s="15"/>
      <c r="K9" s="15"/>
      <c r="L9" s="15"/>
      <c r="M9" s="15"/>
    </row>
    <row r="10" spans="1:14">
      <c r="F10" s="15"/>
      <c r="G10" s="18"/>
      <c r="H10" s="15"/>
      <c r="I10" s="15"/>
      <c r="J10" s="15"/>
      <c r="K10" s="15"/>
      <c r="L10" s="15"/>
      <c r="M10" s="15"/>
    </row>
    <row r="11" spans="1:14">
      <c r="L11" s="2"/>
      <c r="N11" s="3"/>
    </row>
    <row r="13" spans="1:14">
      <c r="B13" s="20" t="s">
        <v>129</v>
      </c>
      <c r="C13" s="20"/>
      <c r="D13" s="20"/>
    </row>
    <row r="14" spans="1:14" ht="10.5" customHeight="1">
      <c r="B14" s="20"/>
      <c r="C14" s="20"/>
      <c r="D14" s="20"/>
    </row>
    <row r="15" spans="1:14">
      <c r="B15" s="20"/>
      <c r="C15" s="20"/>
      <c r="D15" s="20"/>
    </row>
    <row r="16" spans="1:14" ht="35.25">
      <c r="B16" s="10" t="s">
        <v>100</v>
      </c>
      <c r="C16" s="10">
        <v>30</v>
      </c>
      <c r="D16" s="10"/>
    </row>
    <row r="17" spans="2:3" ht="35.25">
      <c r="B17" s="10" t="s">
        <v>99</v>
      </c>
      <c r="C17" s="10">
        <v>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_deck">
                <anchor moveWithCells="1" sizeWithCells="1">
                  <from>
                    <xdr:col>1</xdr:col>
                    <xdr:colOff>0</xdr:colOff>
                    <xdr:row>11</xdr:row>
                    <xdr:rowOff>133350</xdr:rowOff>
                  </from>
                  <to>
                    <xdr:col>4</xdr:col>
                    <xdr:colOff>123825</xdr:colOff>
                    <xdr:row>15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20DBC-3437-4254-AF77-DC90EEBCE5ED}">
  <sheetPr codeName="Sheet3">
    <pageSetUpPr fitToPage="1"/>
  </sheetPr>
  <dimension ref="A1:M209"/>
  <sheetViews>
    <sheetView showGridLines="0" showRowColHeaders="0" zoomScale="70" zoomScaleNormal="70" zoomScalePageLayoutView="85" workbookViewId="0">
      <selection activeCell="D8" sqref="D8"/>
    </sheetView>
  </sheetViews>
  <sheetFormatPr defaultColWidth="8.140625" defaultRowHeight="15"/>
  <cols>
    <col min="1" max="1" width="2.85546875" customWidth="1"/>
    <col min="2" max="2" width="5.140625" customWidth="1"/>
    <col min="3" max="3" width="28" customWidth="1"/>
    <col min="4" max="4" width="39.140625" customWidth="1"/>
    <col min="5" max="5" width="5.140625" customWidth="1"/>
    <col min="6" max="6" width="2.28515625" customWidth="1"/>
    <col min="8" max="8" width="2.85546875" customWidth="1"/>
    <col min="9" max="9" width="5.140625" customWidth="1"/>
    <col min="10" max="10" width="28" customWidth="1"/>
    <col min="11" max="11" width="39.140625" customWidth="1"/>
    <col min="12" max="12" width="5.140625" customWidth="1"/>
    <col min="13" max="13" width="2.28515625" customWidth="1"/>
    <col min="15" max="15" width="2.85546875" customWidth="1"/>
    <col min="16" max="16" width="5.140625" customWidth="1"/>
    <col min="17" max="17" width="28" customWidth="1"/>
    <col min="18" max="18" width="39.140625" customWidth="1"/>
    <col min="19" max="19" width="5.140625" customWidth="1"/>
    <col min="20" max="20" width="2.28515625" customWidth="1"/>
  </cols>
  <sheetData>
    <row r="1" spans="1:13" ht="35.25">
      <c r="A1" s="6"/>
      <c r="B1" s="17"/>
      <c r="C1" s="7"/>
      <c r="D1" s="21" t="s">
        <v>272</v>
      </c>
      <c r="E1" s="7"/>
      <c r="F1" s="8"/>
      <c r="H1" s="6"/>
      <c r="I1" s="17"/>
      <c r="J1" s="7"/>
      <c r="K1" s="21" t="s">
        <v>272</v>
      </c>
      <c r="L1" s="7"/>
      <c r="M1" s="8"/>
    </row>
    <row r="2" spans="1:13" ht="30.75">
      <c r="A2" s="9"/>
      <c r="B2" s="25">
        <v>1</v>
      </c>
      <c r="C2" s="22" t="s">
        <v>268</v>
      </c>
      <c r="D2" s="22" t="s">
        <v>130</v>
      </c>
      <c r="E2" s="25" t="s">
        <v>130</v>
      </c>
      <c r="F2" s="11"/>
      <c r="H2" s="9"/>
      <c r="I2" s="25">
        <v>1</v>
      </c>
      <c r="J2" s="22" t="s">
        <v>209</v>
      </c>
      <c r="K2" s="22" t="s">
        <v>130</v>
      </c>
      <c r="L2" s="25" t="s">
        <v>130</v>
      </c>
      <c r="M2" s="11"/>
    </row>
    <row r="3" spans="1:13" ht="30.75">
      <c r="A3" s="9"/>
      <c r="B3" s="25">
        <v>2</v>
      </c>
      <c r="C3" s="22" t="s">
        <v>193</v>
      </c>
      <c r="D3" s="22" t="s">
        <v>258</v>
      </c>
      <c r="E3" s="25" t="s">
        <v>199</v>
      </c>
      <c r="F3" s="11"/>
      <c r="H3" s="9"/>
      <c r="I3" s="25">
        <v>2</v>
      </c>
      <c r="J3" s="22" t="s">
        <v>269</v>
      </c>
      <c r="K3" s="22" t="s">
        <v>130</v>
      </c>
      <c r="L3" s="25" t="s">
        <v>130</v>
      </c>
      <c r="M3" s="11"/>
    </row>
    <row r="4" spans="1:13" ht="30.75">
      <c r="A4" s="9"/>
      <c r="B4" s="25">
        <v>3</v>
      </c>
      <c r="C4" s="22" t="s">
        <v>158</v>
      </c>
      <c r="D4" s="22" t="s">
        <v>130</v>
      </c>
      <c r="E4" s="25" t="s">
        <v>130</v>
      </c>
      <c r="F4" s="11"/>
      <c r="H4" s="9"/>
      <c r="I4" s="25">
        <v>3</v>
      </c>
      <c r="J4" s="22" t="s">
        <v>165</v>
      </c>
      <c r="K4" s="22" t="s">
        <v>130</v>
      </c>
      <c r="L4" s="25" t="s">
        <v>130</v>
      </c>
      <c r="M4" s="11"/>
    </row>
    <row r="5" spans="1:13" ht="30.75">
      <c r="A5" s="9"/>
      <c r="B5" s="25">
        <v>4</v>
      </c>
      <c r="C5" s="22" t="s">
        <v>246</v>
      </c>
      <c r="D5" s="22" t="s">
        <v>130</v>
      </c>
      <c r="E5" s="25" t="s">
        <v>130</v>
      </c>
      <c r="F5" s="11"/>
      <c r="H5" s="9"/>
      <c r="I5" s="25">
        <v>4</v>
      </c>
      <c r="J5" s="22" t="s">
        <v>188</v>
      </c>
      <c r="K5" s="22" t="s">
        <v>130</v>
      </c>
      <c r="L5" s="25" t="s">
        <v>130</v>
      </c>
      <c r="M5" s="11"/>
    </row>
    <row r="6" spans="1:13" ht="33.75" thickBot="1">
      <c r="A6" s="12"/>
      <c r="B6" s="23"/>
      <c r="C6" s="24"/>
      <c r="D6" s="24"/>
      <c r="E6" s="24"/>
      <c r="F6" s="13"/>
      <c r="H6" s="12"/>
      <c r="I6" s="23"/>
      <c r="J6" s="24"/>
      <c r="K6" s="24"/>
      <c r="L6" s="24"/>
      <c r="M6" s="13"/>
    </row>
    <row r="7" spans="1:13" ht="15.75" thickBot="1"/>
    <row r="8" spans="1:13" ht="35.25">
      <c r="A8" s="6"/>
      <c r="B8" s="17"/>
      <c r="C8" s="7"/>
      <c r="D8" s="21" t="s">
        <v>272</v>
      </c>
      <c r="E8" s="7"/>
      <c r="F8" s="8"/>
      <c r="H8" s="6"/>
      <c r="I8" s="17"/>
      <c r="J8" s="7"/>
      <c r="K8" s="21" t="s">
        <v>272</v>
      </c>
      <c r="L8" s="7"/>
      <c r="M8" s="8"/>
    </row>
    <row r="9" spans="1:13" ht="30.75">
      <c r="A9" s="9"/>
      <c r="B9" s="25">
        <v>1</v>
      </c>
      <c r="C9" s="22" t="s">
        <v>244</v>
      </c>
      <c r="D9" s="22" t="s">
        <v>245</v>
      </c>
      <c r="E9" s="25" t="s">
        <v>199</v>
      </c>
      <c r="F9" s="11"/>
      <c r="H9" s="9"/>
      <c r="I9" s="25">
        <v>1</v>
      </c>
      <c r="J9" s="22" t="s">
        <v>166</v>
      </c>
      <c r="K9" s="22" t="s">
        <v>110</v>
      </c>
      <c r="L9" s="25" t="s">
        <v>199</v>
      </c>
      <c r="M9" s="11"/>
    </row>
    <row r="10" spans="1:13" ht="30.75">
      <c r="A10" s="9"/>
      <c r="B10" s="25">
        <v>2</v>
      </c>
      <c r="C10" s="22" t="s">
        <v>148</v>
      </c>
      <c r="D10" s="22" t="s">
        <v>130</v>
      </c>
      <c r="E10" s="25" t="s">
        <v>130</v>
      </c>
      <c r="F10" s="11"/>
      <c r="H10" s="9"/>
      <c r="I10" s="25">
        <v>2</v>
      </c>
      <c r="J10" s="22" t="s">
        <v>207</v>
      </c>
      <c r="K10" s="22" t="s">
        <v>130</v>
      </c>
      <c r="L10" s="25" t="s">
        <v>130</v>
      </c>
      <c r="M10" s="11"/>
    </row>
    <row r="11" spans="1:13" ht="30.75">
      <c r="A11" s="9"/>
      <c r="B11" s="25">
        <v>3</v>
      </c>
      <c r="C11" s="22" t="s">
        <v>144</v>
      </c>
      <c r="D11" s="22" t="s">
        <v>130</v>
      </c>
      <c r="E11" s="25" t="s">
        <v>130</v>
      </c>
      <c r="F11" s="11"/>
      <c r="H11" s="9"/>
      <c r="I11" s="25">
        <v>3</v>
      </c>
      <c r="J11" s="22" t="s">
        <v>142</v>
      </c>
      <c r="K11" s="22" t="s">
        <v>130</v>
      </c>
      <c r="L11" s="25" t="s">
        <v>130</v>
      </c>
      <c r="M11" s="11"/>
    </row>
    <row r="12" spans="1:13" ht="30.75">
      <c r="A12" s="9"/>
      <c r="B12" s="25">
        <v>4</v>
      </c>
      <c r="C12" s="22" t="s">
        <v>243</v>
      </c>
      <c r="D12" s="22" t="s">
        <v>130</v>
      </c>
      <c r="E12" s="25" t="s">
        <v>130</v>
      </c>
      <c r="F12" s="11"/>
      <c r="H12" s="9"/>
      <c r="I12" s="25">
        <v>4</v>
      </c>
      <c r="J12" s="22" t="s">
        <v>145</v>
      </c>
      <c r="K12" s="22" t="s">
        <v>130</v>
      </c>
      <c r="L12" s="25" t="s">
        <v>130</v>
      </c>
      <c r="M12" s="11"/>
    </row>
    <row r="13" spans="1:13" ht="33.75" thickBot="1">
      <c r="A13" s="12"/>
      <c r="B13" s="23"/>
      <c r="C13" s="24"/>
      <c r="D13" s="24"/>
      <c r="E13" s="24"/>
      <c r="F13" s="13"/>
      <c r="H13" s="12"/>
      <c r="I13" s="23"/>
      <c r="J13" s="24"/>
      <c r="K13" s="24"/>
      <c r="L13" s="24"/>
      <c r="M13" s="13"/>
    </row>
    <row r="14" spans="1:13" ht="15.75" thickBot="1"/>
    <row r="15" spans="1:13" ht="35.25">
      <c r="A15" s="6"/>
      <c r="B15" s="17"/>
      <c r="C15" s="7"/>
      <c r="D15" s="21" t="s">
        <v>272</v>
      </c>
      <c r="E15" s="7"/>
      <c r="F15" s="8"/>
      <c r="H15" s="6"/>
      <c r="I15" s="17"/>
      <c r="J15" s="7"/>
      <c r="K15" s="21" t="s">
        <v>272</v>
      </c>
      <c r="L15" s="7"/>
      <c r="M15" s="8"/>
    </row>
    <row r="16" spans="1:13" ht="30.75">
      <c r="A16" s="9"/>
      <c r="B16" s="25">
        <v>1</v>
      </c>
      <c r="C16" s="22" t="s">
        <v>197</v>
      </c>
      <c r="D16" s="22" t="s">
        <v>130</v>
      </c>
      <c r="E16" s="25" t="s">
        <v>130</v>
      </c>
      <c r="F16" s="11"/>
      <c r="H16" s="9"/>
      <c r="I16" s="25">
        <v>1</v>
      </c>
      <c r="J16" s="22" t="s">
        <v>170</v>
      </c>
      <c r="K16" s="22" t="s">
        <v>130</v>
      </c>
      <c r="L16" s="25" t="s">
        <v>130</v>
      </c>
      <c r="M16" s="11"/>
    </row>
    <row r="17" spans="1:13" ht="30.75">
      <c r="A17" s="9"/>
      <c r="B17" s="25">
        <v>2</v>
      </c>
      <c r="C17" s="22" t="s">
        <v>270</v>
      </c>
      <c r="D17" s="22" t="s">
        <v>130</v>
      </c>
      <c r="E17" s="25" t="s">
        <v>130</v>
      </c>
      <c r="F17" s="11"/>
      <c r="H17" s="9"/>
      <c r="I17" s="25">
        <v>2</v>
      </c>
      <c r="J17" s="22" t="s">
        <v>270</v>
      </c>
      <c r="K17" s="22" t="s">
        <v>130</v>
      </c>
      <c r="L17" s="25" t="s">
        <v>130</v>
      </c>
      <c r="M17" s="11"/>
    </row>
    <row r="18" spans="1:13" ht="30.75">
      <c r="A18" s="9"/>
      <c r="B18" s="25">
        <v>3</v>
      </c>
      <c r="C18" s="22" t="s">
        <v>139</v>
      </c>
      <c r="D18" s="22" t="s">
        <v>140</v>
      </c>
      <c r="E18" s="25" t="s">
        <v>199</v>
      </c>
      <c r="F18" s="11"/>
      <c r="H18" s="9"/>
      <c r="I18" s="25">
        <v>3</v>
      </c>
      <c r="J18" s="22" t="s">
        <v>142</v>
      </c>
      <c r="K18" s="22" t="s">
        <v>130</v>
      </c>
      <c r="L18" s="25" t="s">
        <v>130</v>
      </c>
      <c r="M18" s="11"/>
    </row>
    <row r="19" spans="1:13" ht="30.75">
      <c r="A19" s="9"/>
      <c r="B19" s="25">
        <v>4</v>
      </c>
      <c r="C19" s="22" t="s">
        <v>163</v>
      </c>
      <c r="D19" s="22" t="s">
        <v>130</v>
      </c>
      <c r="E19" s="25" t="s">
        <v>130</v>
      </c>
      <c r="F19" s="11"/>
      <c r="H19" s="9"/>
      <c r="I19" s="25">
        <v>4</v>
      </c>
      <c r="J19" s="22" t="s">
        <v>155</v>
      </c>
      <c r="K19" s="22" t="s">
        <v>156</v>
      </c>
      <c r="L19" s="25" t="s">
        <v>199</v>
      </c>
      <c r="M19" s="11"/>
    </row>
    <row r="20" spans="1:13" ht="33.75" thickBot="1">
      <c r="A20" s="12"/>
      <c r="B20" s="23"/>
      <c r="C20" s="24"/>
      <c r="D20" s="24"/>
      <c r="E20" s="24"/>
      <c r="F20" s="13"/>
      <c r="H20" s="12"/>
      <c r="I20" s="23"/>
      <c r="J20" s="24"/>
      <c r="K20" s="24"/>
      <c r="L20" s="24"/>
      <c r="M20" s="13"/>
    </row>
    <row r="21" spans="1:13" ht="15.75" thickBot="1"/>
    <row r="22" spans="1:13" ht="35.25">
      <c r="A22" s="6"/>
      <c r="B22" s="17"/>
      <c r="C22" s="7"/>
      <c r="D22" s="21" t="s">
        <v>272</v>
      </c>
      <c r="E22" s="7"/>
      <c r="F22" s="8"/>
      <c r="H22" s="6"/>
      <c r="I22" s="17"/>
      <c r="J22" s="7"/>
      <c r="K22" s="21" t="s">
        <v>272</v>
      </c>
      <c r="L22" s="7"/>
      <c r="M22" s="8"/>
    </row>
    <row r="23" spans="1:13" ht="30.75">
      <c r="A23" s="9"/>
      <c r="B23" s="25">
        <v>1</v>
      </c>
      <c r="C23" s="22" t="s">
        <v>157</v>
      </c>
      <c r="D23" s="22" t="s">
        <v>130</v>
      </c>
      <c r="E23" s="25" t="s">
        <v>130</v>
      </c>
      <c r="F23" s="11"/>
      <c r="H23" s="9"/>
      <c r="I23" s="25">
        <v>1</v>
      </c>
      <c r="J23" s="22" t="s">
        <v>197</v>
      </c>
      <c r="K23" s="22" t="s">
        <v>130</v>
      </c>
      <c r="L23" s="25" t="s">
        <v>130</v>
      </c>
      <c r="M23" s="11"/>
    </row>
    <row r="24" spans="1:13" ht="30.75">
      <c r="A24" s="9"/>
      <c r="B24" s="25">
        <v>2</v>
      </c>
      <c r="C24" s="22" t="s">
        <v>136</v>
      </c>
      <c r="D24" s="22" t="s">
        <v>130</v>
      </c>
      <c r="E24" s="25" t="s">
        <v>130</v>
      </c>
      <c r="F24" s="11"/>
      <c r="H24" s="9"/>
      <c r="I24" s="25">
        <v>2</v>
      </c>
      <c r="J24" s="22" t="s">
        <v>150</v>
      </c>
      <c r="K24" s="22" t="s">
        <v>151</v>
      </c>
      <c r="L24" s="25" t="s">
        <v>199</v>
      </c>
      <c r="M24" s="11"/>
    </row>
    <row r="25" spans="1:13" ht="30.75">
      <c r="A25" s="9"/>
      <c r="B25" s="25">
        <v>3</v>
      </c>
      <c r="C25" s="22" t="s">
        <v>161</v>
      </c>
      <c r="D25" s="22" t="s">
        <v>130</v>
      </c>
      <c r="E25" s="25" t="s">
        <v>130</v>
      </c>
      <c r="F25" s="11"/>
      <c r="H25" s="9"/>
      <c r="I25" s="25">
        <v>3</v>
      </c>
      <c r="J25" s="22" t="s">
        <v>153</v>
      </c>
      <c r="K25" s="22" t="s">
        <v>130</v>
      </c>
      <c r="L25" s="25" t="s">
        <v>130</v>
      </c>
      <c r="M25" s="11"/>
    </row>
    <row r="26" spans="1:13" ht="30.75">
      <c r="A26" s="9"/>
      <c r="B26" s="25">
        <v>4</v>
      </c>
      <c r="C26" s="22" t="s">
        <v>168</v>
      </c>
      <c r="D26" s="22" t="s">
        <v>130</v>
      </c>
      <c r="E26" s="25" t="s">
        <v>130</v>
      </c>
      <c r="F26" s="11"/>
      <c r="H26" s="9"/>
      <c r="I26" s="25">
        <v>4</v>
      </c>
      <c r="J26" s="22" t="s">
        <v>149</v>
      </c>
      <c r="K26" s="22" t="s">
        <v>130</v>
      </c>
      <c r="L26" s="25" t="s">
        <v>130</v>
      </c>
      <c r="M26" s="11"/>
    </row>
    <row r="27" spans="1:13" ht="33.75" thickBot="1">
      <c r="A27" s="12"/>
      <c r="B27" s="23"/>
      <c r="C27" s="24"/>
      <c r="D27" s="24"/>
      <c r="E27" s="24"/>
      <c r="F27" s="13"/>
      <c r="H27" s="12"/>
      <c r="I27" s="23"/>
      <c r="J27" s="24"/>
      <c r="K27" s="24"/>
      <c r="L27" s="24"/>
      <c r="M27" s="13"/>
    </row>
    <row r="28" spans="1:13" ht="15.75" thickBot="1"/>
    <row r="29" spans="1:13" ht="35.25">
      <c r="A29" s="6"/>
      <c r="B29" s="17"/>
      <c r="C29" s="7"/>
      <c r="D29" s="21" t="s">
        <v>272</v>
      </c>
      <c r="E29" s="7"/>
      <c r="F29" s="8"/>
      <c r="H29" s="6"/>
      <c r="I29" s="17"/>
      <c r="J29" s="7"/>
      <c r="K29" s="21" t="s">
        <v>272</v>
      </c>
      <c r="L29" s="7"/>
      <c r="M29" s="8"/>
    </row>
    <row r="30" spans="1:13" ht="30.75">
      <c r="A30" s="9"/>
      <c r="B30" s="25">
        <v>1</v>
      </c>
      <c r="C30" s="22" t="s">
        <v>277</v>
      </c>
      <c r="D30" s="22" t="s">
        <v>278</v>
      </c>
      <c r="E30" s="25" t="s">
        <v>199</v>
      </c>
      <c r="F30" s="11"/>
      <c r="H30" s="9"/>
      <c r="I30" s="25">
        <v>1</v>
      </c>
      <c r="J30" s="22" t="s">
        <v>166</v>
      </c>
      <c r="K30" s="22" t="s">
        <v>110</v>
      </c>
      <c r="L30" s="25" t="s">
        <v>199</v>
      </c>
      <c r="M30" s="11"/>
    </row>
    <row r="31" spans="1:13" ht="30.75">
      <c r="A31" s="9"/>
      <c r="B31" s="25">
        <v>2</v>
      </c>
      <c r="C31" s="22" t="s">
        <v>192</v>
      </c>
      <c r="D31" s="22" t="s">
        <v>130</v>
      </c>
      <c r="E31" s="25" t="s">
        <v>130</v>
      </c>
      <c r="F31" s="11"/>
      <c r="H31" s="9"/>
      <c r="I31" s="25">
        <v>2</v>
      </c>
      <c r="J31" s="22" t="s">
        <v>218</v>
      </c>
      <c r="K31" s="22" t="s">
        <v>117</v>
      </c>
      <c r="L31" s="25" t="s">
        <v>199</v>
      </c>
      <c r="M31" s="11"/>
    </row>
    <row r="32" spans="1:13" ht="30.75">
      <c r="A32" s="9"/>
      <c r="B32" s="25">
        <v>3</v>
      </c>
      <c r="C32" s="22" t="s">
        <v>137</v>
      </c>
      <c r="D32" s="22" t="s">
        <v>138</v>
      </c>
      <c r="E32" s="25" t="s">
        <v>199</v>
      </c>
      <c r="F32" s="11"/>
      <c r="H32" s="9"/>
      <c r="I32" s="25">
        <v>3</v>
      </c>
      <c r="J32" s="22" t="s">
        <v>194</v>
      </c>
      <c r="K32" s="22" t="s">
        <v>195</v>
      </c>
      <c r="L32" s="25" t="s">
        <v>199</v>
      </c>
      <c r="M32" s="11"/>
    </row>
    <row r="33" spans="1:13" ht="30.75">
      <c r="A33" s="9"/>
      <c r="B33" s="25">
        <v>4</v>
      </c>
      <c r="C33" s="22" t="s">
        <v>141</v>
      </c>
      <c r="D33" s="22" t="s">
        <v>130</v>
      </c>
      <c r="E33" s="25" t="s">
        <v>130</v>
      </c>
      <c r="F33" s="11"/>
      <c r="H33" s="9"/>
      <c r="I33" s="25">
        <v>4</v>
      </c>
      <c r="J33" s="22" t="s">
        <v>135</v>
      </c>
      <c r="K33" s="22" t="s">
        <v>130</v>
      </c>
      <c r="L33" s="25" t="s">
        <v>130</v>
      </c>
      <c r="M33" s="11"/>
    </row>
    <row r="34" spans="1:13" ht="33.75" thickBot="1">
      <c r="A34" s="12"/>
      <c r="B34" s="23"/>
      <c r="C34" s="24"/>
      <c r="D34" s="24"/>
      <c r="E34" s="24"/>
      <c r="F34" s="13"/>
      <c r="H34" s="12"/>
      <c r="I34" s="23"/>
      <c r="J34" s="24"/>
      <c r="K34" s="24"/>
      <c r="L34" s="24"/>
      <c r="M34" s="13"/>
    </row>
    <row r="35" spans="1:13" ht="15.75" thickBot="1"/>
    <row r="36" spans="1:13" ht="35.25">
      <c r="A36" s="6"/>
      <c r="B36" s="17"/>
      <c r="C36" s="7"/>
      <c r="D36" s="21" t="s">
        <v>272</v>
      </c>
      <c r="E36" s="7"/>
      <c r="F36" s="8"/>
      <c r="H36" s="6"/>
      <c r="I36" s="17"/>
      <c r="J36" s="7"/>
      <c r="K36" s="21" t="s">
        <v>272</v>
      </c>
      <c r="L36" s="7"/>
      <c r="M36" s="8"/>
    </row>
    <row r="37" spans="1:13" ht="30.75">
      <c r="A37" s="9"/>
      <c r="B37" s="25">
        <v>1</v>
      </c>
      <c r="C37" s="22" t="s">
        <v>244</v>
      </c>
      <c r="D37" s="22" t="s">
        <v>245</v>
      </c>
      <c r="E37" s="25" t="s">
        <v>199</v>
      </c>
      <c r="F37" s="11"/>
      <c r="H37" s="9"/>
      <c r="I37" s="25">
        <v>1</v>
      </c>
      <c r="J37" s="22" t="s">
        <v>180</v>
      </c>
      <c r="K37" s="22" t="s">
        <v>130</v>
      </c>
      <c r="L37" s="25" t="s">
        <v>130</v>
      </c>
      <c r="M37" s="11"/>
    </row>
    <row r="38" spans="1:13" ht="30.75">
      <c r="A38" s="9"/>
      <c r="B38" s="25">
        <v>2</v>
      </c>
      <c r="C38" s="22" t="s">
        <v>193</v>
      </c>
      <c r="D38" s="22" t="s">
        <v>258</v>
      </c>
      <c r="E38" s="25" t="s">
        <v>199</v>
      </c>
      <c r="F38" s="11"/>
      <c r="H38" s="9"/>
      <c r="I38" s="25">
        <v>2</v>
      </c>
      <c r="J38" s="22" t="s">
        <v>148</v>
      </c>
      <c r="K38" s="22" t="s">
        <v>130</v>
      </c>
      <c r="L38" s="25" t="s">
        <v>130</v>
      </c>
      <c r="M38" s="11"/>
    </row>
    <row r="39" spans="1:13" ht="30.75">
      <c r="A39" s="9"/>
      <c r="B39" s="25">
        <v>3</v>
      </c>
      <c r="C39" s="22" t="s">
        <v>161</v>
      </c>
      <c r="D39" s="22" t="s">
        <v>130</v>
      </c>
      <c r="E39" s="25" t="s">
        <v>130</v>
      </c>
      <c r="F39" s="11"/>
      <c r="H39" s="9"/>
      <c r="I39" s="25">
        <v>3</v>
      </c>
      <c r="J39" s="22" t="s">
        <v>144</v>
      </c>
      <c r="K39" s="22" t="s">
        <v>130</v>
      </c>
      <c r="L39" s="25" t="s">
        <v>130</v>
      </c>
      <c r="M39" s="11"/>
    </row>
    <row r="40" spans="1:13" ht="30.75">
      <c r="A40" s="9"/>
      <c r="B40" s="25">
        <v>4</v>
      </c>
      <c r="C40" s="22" t="s">
        <v>141</v>
      </c>
      <c r="D40" s="22" t="s">
        <v>130</v>
      </c>
      <c r="E40" s="25" t="s">
        <v>130</v>
      </c>
      <c r="F40" s="11"/>
      <c r="H40" s="9"/>
      <c r="I40" s="25">
        <v>4</v>
      </c>
      <c r="J40" s="22" t="s">
        <v>135</v>
      </c>
      <c r="K40" s="22" t="s">
        <v>130</v>
      </c>
      <c r="L40" s="25" t="s">
        <v>130</v>
      </c>
      <c r="M40" s="11"/>
    </row>
    <row r="41" spans="1:13" ht="33.75" thickBot="1">
      <c r="A41" s="12"/>
      <c r="B41" s="23"/>
      <c r="C41" s="24"/>
      <c r="D41" s="24"/>
      <c r="E41" s="24"/>
      <c r="F41" s="13"/>
      <c r="H41" s="12"/>
      <c r="I41" s="23"/>
      <c r="J41" s="24"/>
      <c r="K41" s="24"/>
      <c r="L41" s="24"/>
      <c r="M41" s="13"/>
    </row>
    <row r="42" spans="1:13" ht="15.75" thickBot="1"/>
    <row r="43" spans="1:13" ht="35.25">
      <c r="A43" s="6"/>
      <c r="B43" s="17"/>
      <c r="C43" s="7"/>
      <c r="D43" s="21" t="s">
        <v>272</v>
      </c>
      <c r="E43" s="7"/>
      <c r="F43" s="8"/>
      <c r="H43" s="6"/>
      <c r="I43" s="17"/>
      <c r="J43" s="7"/>
      <c r="K43" s="21" t="s">
        <v>272</v>
      </c>
      <c r="L43" s="7"/>
      <c r="M43" s="8"/>
    </row>
    <row r="44" spans="1:13" ht="30.75">
      <c r="A44" s="9"/>
      <c r="B44" s="25">
        <v>1</v>
      </c>
      <c r="C44" s="22" t="s">
        <v>164</v>
      </c>
      <c r="D44" s="22" t="s">
        <v>130</v>
      </c>
      <c r="E44" s="25" t="s">
        <v>130</v>
      </c>
      <c r="F44" s="11"/>
      <c r="H44" s="9"/>
      <c r="I44" s="25">
        <v>1</v>
      </c>
      <c r="J44" s="22" t="s">
        <v>220</v>
      </c>
      <c r="K44" s="22" t="s">
        <v>130</v>
      </c>
      <c r="L44" s="25" t="s">
        <v>130</v>
      </c>
      <c r="M44" s="11"/>
    </row>
    <row r="45" spans="1:13" ht="30.75">
      <c r="A45" s="9"/>
      <c r="B45" s="25">
        <v>2</v>
      </c>
      <c r="C45" s="22" t="s">
        <v>148</v>
      </c>
      <c r="D45" s="22" t="s">
        <v>130</v>
      </c>
      <c r="E45" s="25" t="s">
        <v>130</v>
      </c>
      <c r="F45" s="11"/>
      <c r="H45" s="9"/>
      <c r="I45" s="25">
        <v>2</v>
      </c>
      <c r="J45" s="22" t="s">
        <v>171</v>
      </c>
      <c r="K45" s="22" t="s">
        <v>130</v>
      </c>
      <c r="L45" s="25" t="s">
        <v>130</v>
      </c>
      <c r="M45" s="11"/>
    </row>
    <row r="46" spans="1:13" ht="30.75">
      <c r="A46" s="9"/>
      <c r="B46" s="25">
        <v>3</v>
      </c>
      <c r="C46" s="22" t="s">
        <v>253</v>
      </c>
      <c r="D46" s="22" t="s">
        <v>130</v>
      </c>
      <c r="E46" s="25" t="s">
        <v>130</v>
      </c>
      <c r="F46" s="11"/>
      <c r="H46" s="9"/>
      <c r="I46" s="25">
        <v>3</v>
      </c>
      <c r="J46" s="22" t="s">
        <v>240</v>
      </c>
      <c r="K46" s="22" t="s">
        <v>130</v>
      </c>
      <c r="L46" s="25" t="s">
        <v>130</v>
      </c>
      <c r="M46" s="11"/>
    </row>
    <row r="47" spans="1:13" ht="30.75">
      <c r="A47" s="9"/>
      <c r="B47" s="25">
        <v>4</v>
      </c>
      <c r="C47" s="22" t="s">
        <v>243</v>
      </c>
      <c r="D47" s="22" t="s">
        <v>130</v>
      </c>
      <c r="E47" s="25" t="s">
        <v>130</v>
      </c>
      <c r="F47" s="11"/>
      <c r="H47" s="9"/>
      <c r="I47" s="25">
        <v>4</v>
      </c>
      <c r="J47" s="22" t="s">
        <v>163</v>
      </c>
      <c r="K47" s="22" t="s">
        <v>130</v>
      </c>
      <c r="L47" s="25" t="s">
        <v>130</v>
      </c>
      <c r="M47" s="11"/>
    </row>
    <row r="48" spans="1:13" ht="33.75" thickBot="1">
      <c r="A48" s="12"/>
      <c r="B48" s="23"/>
      <c r="C48" s="24"/>
      <c r="D48" s="24"/>
      <c r="E48" s="24"/>
      <c r="F48" s="13"/>
      <c r="H48" s="12"/>
      <c r="I48" s="23"/>
      <c r="J48" s="24"/>
      <c r="K48" s="24"/>
      <c r="L48" s="24"/>
      <c r="M48" s="13"/>
    </row>
    <row r="49" spans="1:13" ht="15.75" thickBot="1"/>
    <row r="50" spans="1:13" ht="35.25">
      <c r="A50" s="6"/>
      <c r="B50" s="17"/>
      <c r="C50" s="7"/>
      <c r="D50" s="21" t="s">
        <v>272</v>
      </c>
      <c r="E50" s="7"/>
      <c r="F50" s="8"/>
      <c r="H50" s="6"/>
      <c r="I50" s="17"/>
      <c r="J50" s="7"/>
      <c r="K50" s="21" t="s">
        <v>272</v>
      </c>
      <c r="L50" s="7"/>
      <c r="M50" s="8"/>
    </row>
    <row r="51" spans="1:13" ht="30.75">
      <c r="A51" s="9"/>
      <c r="B51" s="25">
        <v>1</v>
      </c>
      <c r="C51" s="22" t="s">
        <v>267</v>
      </c>
      <c r="D51" s="22" t="s">
        <v>130</v>
      </c>
      <c r="E51" s="25" t="s">
        <v>130</v>
      </c>
      <c r="F51" s="11"/>
      <c r="H51" s="9"/>
      <c r="I51" s="25">
        <v>1</v>
      </c>
      <c r="J51" s="22" t="s">
        <v>277</v>
      </c>
      <c r="K51" s="22" t="s">
        <v>278</v>
      </c>
      <c r="L51" s="25" t="s">
        <v>199</v>
      </c>
      <c r="M51" s="11"/>
    </row>
    <row r="52" spans="1:13" ht="30.75">
      <c r="A52" s="9"/>
      <c r="B52" s="25">
        <v>2</v>
      </c>
      <c r="C52" s="22" t="s">
        <v>207</v>
      </c>
      <c r="D52" s="22" t="s">
        <v>130</v>
      </c>
      <c r="E52" s="25" t="s">
        <v>130</v>
      </c>
      <c r="F52" s="11"/>
      <c r="H52" s="9"/>
      <c r="I52" s="25">
        <v>2</v>
      </c>
      <c r="J52" s="22" t="s">
        <v>221</v>
      </c>
      <c r="K52" s="22" t="s">
        <v>130</v>
      </c>
      <c r="L52" s="25" t="s">
        <v>130</v>
      </c>
      <c r="M52" s="11"/>
    </row>
    <row r="53" spans="1:13" ht="30.75">
      <c r="A53" s="9"/>
      <c r="B53" s="25">
        <v>3</v>
      </c>
      <c r="C53" s="22" t="s">
        <v>253</v>
      </c>
      <c r="D53" s="22" t="s">
        <v>130</v>
      </c>
      <c r="E53" s="25" t="s">
        <v>130</v>
      </c>
      <c r="F53" s="11"/>
      <c r="H53" s="9"/>
      <c r="I53" s="25">
        <v>3</v>
      </c>
      <c r="J53" s="22" t="s">
        <v>241</v>
      </c>
      <c r="K53" s="22" t="s">
        <v>130</v>
      </c>
      <c r="L53" s="25" t="s">
        <v>130</v>
      </c>
      <c r="M53" s="11"/>
    </row>
    <row r="54" spans="1:13" ht="30.75">
      <c r="A54" s="9"/>
      <c r="B54" s="25">
        <v>4</v>
      </c>
      <c r="C54" s="22" t="s">
        <v>145</v>
      </c>
      <c r="D54" s="22" t="s">
        <v>130</v>
      </c>
      <c r="E54" s="25" t="s">
        <v>130</v>
      </c>
      <c r="F54" s="11"/>
      <c r="H54" s="9"/>
      <c r="I54" s="25">
        <v>4</v>
      </c>
      <c r="J54" s="22" t="s">
        <v>149</v>
      </c>
      <c r="K54" s="22" t="s">
        <v>130</v>
      </c>
      <c r="L54" s="25" t="s">
        <v>130</v>
      </c>
      <c r="M54" s="11"/>
    </row>
    <row r="55" spans="1:13" ht="33.75" thickBot="1">
      <c r="A55" s="12"/>
      <c r="B55" s="23"/>
      <c r="C55" s="24"/>
      <c r="D55" s="24"/>
      <c r="E55" s="24"/>
      <c r="F55" s="13"/>
      <c r="H55" s="12"/>
      <c r="I55" s="23"/>
      <c r="J55" s="24"/>
      <c r="K55" s="24"/>
      <c r="L55" s="24"/>
      <c r="M55" s="13"/>
    </row>
    <row r="56" spans="1:13" ht="15.75" thickBot="1"/>
    <row r="57" spans="1:13" ht="35.25">
      <c r="A57" s="6"/>
      <c r="B57" s="17"/>
      <c r="C57" s="7"/>
      <c r="D57" s="21" t="s">
        <v>272</v>
      </c>
      <c r="E57" s="7"/>
      <c r="F57" s="8"/>
      <c r="H57" s="6"/>
      <c r="I57" s="17"/>
      <c r="J57" s="7"/>
      <c r="K57" s="21" t="s">
        <v>272</v>
      </c>
      <c r="L57" s="7"/>
      <c r="M57" s="8"/>
    </row>
    <row r="58" spans="1:13" ht="30.75">
      <c r="A58" s="9"/>
      <c r="B58" s="25">
        <v>1</v>
      </c>
      <c r="C58" s="22" t="s">
        <v>244</v>
      </c>
      <c r="D58" s="22" t="s">
        <v>245</v>
      </c>
      <c r="E58" s="25" t="s">
        <v>199</v>
      </c>
      <c r="F58" s="11"/>
      <c r="H58" s="9"/>
      <c r="I58" s="25">
        <v>1</v>
      </c>
      <c r="J58" s="22" t="s">
        <v>271</v>
      </c>
      <c r="K58" s="22" t="s">
        <v>130</v>
      </c>
      <c r="L58" s="25" t="s">
        <v>130</v>
      </c>
      <c r="M58" s="11"/>
    </row>
    <row r="59" spans="1:13" ht="30.75">
      <c r="A59" s="9"/>
      <c r="B59" s="25">
        <v>2</v>
      </c>
      <c r="C59" s="22" t="s">
        <v>177</v>
      </c>
      <c r="D59" s="22" t="s">
        <v>130</v>
      </c>
      <c r="E59" s="25" t="s">
        <v>130</v>
      </c>
      <c r="F59" s="11"/>
      <c r="H59" s="9"/>
      <c r="I59" s="25">
        <v>2</v>
      </c>
      <c r="J59" s="22" t="s">
        <v>167</v>
      </c>
      <c r="K59" s="22" t="s">
        <v>130</v>
      </c>
      <c r="L59" s="25" t="s">
        <v>130</v>
      </c>
      <c r="M59" s="11"/>
    </row>
    <row r="60" spans="1:13" ht="30.75">
      <c r="A60" s="9"/>
      <c r="B60" s="25">
        <v>3</v>
      </c>
      <c r="C60" s="22" t="s">
        <v>144</v>
      </c>
      <c r="D60" s="22" t="s">
        <v>130</v>
      </c>
      <c r="E60" s="25" t="s">
        <v>130</v>
      </c>
      <c r="F60" s="11"/>
      <c r="H60" s="9"/>
      <c r="I60" s="25">
        <v>3</v>
      </c>
      <c r="J60" s="22" t="s">
        <v>242</v>
      </c>
      <c r="K60" s="22" t="s">
        <v>130</v>
      </c>
      <c r="L60" s="25" t="s">
        <v>130</v>
      </c>
      <c r="M60" s="11"/>
    </row>
    <row r="61" spans="1:13" ht="30.75">
      <c r="A61" s="9"/>
      <c r="B61" s="25">
        <v>4</v>
      </c>
      <c r="C61" s="22" t="s">
        <v>246</v>
      </c>
      <c r="D61" s="22" t="s">
        <v>130</v>
      </c>
      <c r="E61" s="25" t="s">
        <v>130</v>
      </c>
      <c r="F61" s="11"/>
      <c r="H61" s="9"/>
      <c r="I61" s="25">
        <v>4</v>
      </c>
      <c r="J61" s="22" t="s">
        <v>155</v>
      </c>
      <c r="K61" s="22" t="s">
        <v>156</v>
      </c>
      <c r="L61" s="25" t="s">
        <v>199</v>
      </c>
      <c r="M61" s="11"/>
    </row>
    <row r="62" spans="1:13" ht="33.75" thickBot="1">
      <c r="A62" s="12"/>
      <c r="B62" s="23"/>
      <c r="C62" s="24"/>
      <c r="D62" s="24"/>
      <c r="E62" s="24"/>
      <c r="F62" s="13"/>
      <c r="H62" s="12"/>
      <c r="I62" s="23"/>
      <c r="J62" s="24"/>
      <c r="K62" s="24"/>
      <c r="L62" s="24"/>
      <c r="M62" s="13"/>
    </row>
    <row r="63" spans="1:13" ht="15.75" thickBot="1"/>
    <row r="64" spans="1:13" ht="35.25">
      <c r="A64" s="6"/>
      <c r="B64" s="17"/>
      <c r="C64" s="7"/>
      <c r="D64" s="21" t="s">
        <v>272</v>
      </c>
      <c r="E64" s="7"/>
      <c r="F64" s="8"/>
      <c r="H64" s="6"/>
      <c r="I64" s="17"/>
      <c r="J64" s="7"/>
      <c r="K64" s="21" t="s">
        <v>272</v>
      </c>
      <c r="L64" s="7"/>
      <c r="M64" s="8"/>
    </row>
    <row r="65" spans="1:13" ht="30.75">
      <c r="A65" s="9"/>
      <c r="B65" s="25">
        <v>1</v>
      </c>
      <c r="C65" s="22" t="s">
        <v>146</v>
      </c>
      <c r="D65" s="22" t="s">
        <v>130</v>
      </c>
      <c r="E65" s="25" t="s">
        <v>130</v>
      </c>
      <c r="F65" s="11"/>
      <c r="H65" s="9"/>
      <c r="I65" s="25">
        <v>1</v>
      </c>
      <c r="J65" s="22" t="s">
        <v>166</v>
      </c>
      <c r="K65" s="22" t="s">
        <v>110</v>
      </c>
      <c r="L65" s="25" t="s">
        <v>199</v>
      </c>
      <c r="M65" s="11"/>
    </row>
    <row r="66" spans="1:13" ht="30.75">
      <c r="A66" s="9"/>
      <c r="B66" s="25">
        <v>2</v>
      </c>
      <c r="C66" s="22" t="s">
        <v>259</v>
      </c>
      <c r="D66" s="22" t="s">
        <v>130</v>
      </c>
      <c r="E66" s="25" t="s">
        <v>130</v>
      </c>
      <c r="F66" s="11"/>
      <c r="H66" s="9"/>
      <c r="I66" s="25">
        <v>2</v>
      </c>
      <c r="J66" s="22" t="s">
        <v>189</v>
      </c>
      <c r="K66" s="22" t="s">
        <v>130</v>
      </c>
      <c r="L66" s="25" t="s">
        <v>130</v>
      </c>
      <c r="M66" s="11"/>
    </row>
    <row r="67" spans="1:13" ht="30.75">
      <c r="A67" s="9"/>
      <c r="B67" s="25">
        <v>3</v>
      </c>
      <c r="C67" s="22" t="s">
        <v>142</v>
      </c>
      <c r="D67" s="22" t="s">
        <v>130</v>
      </c>
      <c r="E67" s="25" t="s">
        <v>130</v>
      </c>
      <c r="F67" s="11"/>
      <c r="H67" s="9"/>
      <c r="I67" s="25">
        <v>3</v>
      </c>
      <c r="J67" s="22" t="s">
        <v>249</v>
      </c>
      <c r="K67" s="22" t="s">
        <v>260</v>
      </c>
      <c r="L67" s="25" t="s">
        <v>199</v>
      </c>
      <c r="M67" s="11"/>
    </row>
    <row r="68" spans="1:13" ht="30.75">
      <c r="A68" s="9"/>
      <c r="B68" s="25">
        <v>4</v>
      </c>
      <c r="C68" s="22" t="s">
        <v>141</v>
      </c>
      <c r="D68" s="22" t="s">
        <v>130</v>
      </c>
      <c r="E68" s="25" t="s">
        <v>130</v>
      </c>
      <c r="F68" s="11"/>
      <c r="H68" s="9"/>
      <c r="I68" s="25">
        <v>4</v>
      </c>
      <c r="J68" s="22" t="s">
        <v>149</v>
      </c>
      <c r="K68" s="22" t="s">
        <v>130</v>
      </c>
      <c r="L68" s="25" t="s">
        <v>130</v>
      </c>
      <c r="M68" s="11"/>
    </row>
    <row r="69" spans="1:13" ht="33.75" thickBot="1">
      <c r="A69" s="12"/>
      <c r="B69" s="23"/>
      <c r="C69" s="24"/>
      <c r="D69" s="24"/>
      <c r="E69" s="24"/>
      <c r="F69" s="13"/>
      <c r="H69" s="12"/>
      <c r="I69" s="23"/>
      <c r="J69" s="24"/>
      <c r="K69" s="24"/>
      <c r="L69" s="24"/>
      <c r="M69" s="13"/>
    </row>
    <row r="70" spans="1:13" ht="15.75" thickBot="1"/>
    <row r="71" spans="1:13" ht="35.25">
      <c r="A71" s="6"/>
      <c r="B71" s="17"/>
      <c r="C71" s="7"/>
      <c r="D71" s="21" t="s">
        <v>272</v>
      </c>
      <c r="E71" s="7"/>
      <c r="F71" s="8"/>
      <c r="H71" s="6"/>
      <c r="I71" s="17"/>
      <c r="J71" s="7"/>
      <c r="K71" s="21" t="s">
        <v>272</v>
      </c>
      <c r="L71" s="7"/>
      <c r="M71" s="8"/>
    </row>
    <row r="72" spans="1:13" ht="30.75">
      <c r="A72" s="9"/>
      <c r="B72" s="25">
        <v>1</v>
      </c>
      <c r="C72" s="22" t="s">
        <v>170</v>
      </c>
      <c r="D72" s="22" t="s">
        <v>130</v>
      </c>
      <c r="E72" s="25" t="s">
        <v>130</v>
      </c>
      <c r="F72" s="11"/>
      <c r="H72" s="9"/>
      <c r="I72" s="25">
        <v>1</v>
      </c>
      <c r="J72" s="22" t="s">
        <v>198</v>
      </c>
      <c r="K72" s="22" t="s">
        <v>130</v>
      </c>
      <c r="L72" s="25" t="s">
        <v>130</v>
      </c>
      <c r="M72" s="11"/>
    </row>
    <row r="73" spans="1:13" ht="30.75">
      <c r="A73" s="9"/>
      <c r="B73" s="25">
        <v>2</v>
      </c>
      <c r="C73" s="22" t="s">
        <v>254</v>
      </c>
      <c r="D73" s="22" t="s">
        <v>130</v>
      </c>
      <c r="E73" s="25" t="s">
        <v>130</v>
      </c>
      <c r="F73" s="11"/>
      <c r="H73" s="9"/>
      <c r="I73" s="25">
        <v>2</v>
      </c>
      <c r="J73" s="22" t="s">
        <v>147</v>
      </c>
      <c r="K73" s="22" t="s">
        <v>130</v>
      </c>
      <c r="L73" s="25" t="s">
        <v>130</v>
      </c>
      <c r="M73" s="11"/>
    </row>
    <row r="74" spans="1:13" ht="30.75">
      <c r="A74" s="9"/>
      <c r="B74" s="25">
        <v>3</v>
      </c>
      <c r="C74" s="22" t="s">
        <v>142</v>
      </c>
      <c r="D74" s="22" t="s">
        <v>130</v>
      </c>
      <c r="E74" s="25" t="s">
        <v>130</v>
      </c>
      <c r="F74" s="11"/>
      <c r="H74" s="9"/>
      <c r="I74" s="25">
        <v>3</v>
      </c>
      <c r="J74" s="22" t="s">
        <v>251</v>
      </c>
      <c r="K74" s="22" t="s">
        <v>130</v>
      </c>
      <c r="L74" s="25" t="s">
        <v>130</v>
      </c>
      <c r="M74" s="11"/>
    </row>
    <row r="75" spans="1:13" ht="30.75">
      <c r="A75" s="9"/>
      <c r="B75" s="25">
        <v>4</v>
      </c>
      <c r="C75" s="22" t="s">
        <v>135</v>
      </c>
      <c r="D75" s="22" t="s">
        <v>130</v>
      </c>
      <c r="E75" s="25" t="s">
        <v>130</v>
      </c>
      <c r="F75" s="11"/>
      <c r="H75" s="9"/>
      <c r="I75" s="25">
        <v>4</v>
      </c>
      <c r="J75" s="22" t="s">
        <v>243</v>
      </c>
      <c r="K75" s="22" t="s">
        <v>130</v>
      </c>
      <c r="L75" s="25" t="s">
        <v>130</v>
      </c>
      <c r="M75" s="11"/>
    </row>
    <row r="76" spans="1:13" ht="33.75" thickBot="1">
      <c r="A76" s="12"/>
      <c r="B76" s="23"/>
      <c r="C76" s="24"/>
      <c r="D76" s="24"/>
      <c r="E76" s="24"/>
      <c r="F76" s="13"/>
      <c r="H76" s="12"/>
      <c r="I76" s="23"/>
      <c r="J76" s="24"/>
      <c r="K76" s="24"/>
      <c r="L76" s="24"/>
      <c r="M76" s="13"/>
    </row>
    <row r="77" spans="1:13" ht="15.75" thickBot="1"/>
    <row r="78" spans="1:13" ht="35.25">
      <c r="A78" s="6"/>
      <c r="B78" s="17"/>
      <c r="C78" s="7"/>
      <c r="D78" s="21" t="s">
        <v>272</v>
      </c>
      <c r="E78" s="7"/>
      <c r="F78" s="8"/>
      <c r="H78" s="6"/>
      <c r="I78" s="17"/>
      <c r="J78" s="7"/>
      <c r="K78" s="21" t="s">
        <v>272</v>
      </c>
      <c r="L78" s="7"/>
      <c r="M78" s="8"/>
    </row>
    <row r="79" spans="1:13" ht="30.75">
      <c r="A79" s="9"/>
      <c r="B79" s="25">
        <v>1</v>
      </c>
      <c r="C79" s="22" t="s">
        <v>279</v>
      </c>
      <c r="D79" s="22" t="s">
        <v>280</v>
      </c>
      <c r="E79" s="25" t="s">
        <v>199</v>
      </c>
      <c r="F79" s="11"/>
      <c r="H79" s="9"/>
      <c r="I79" s="25">
        <v>1</v>
      </c>
      <c r="J79" s="22" t="s">
        <v>210</v>
      </c>
      <c r="K79" s="22" t="s">
        <v>130</v>
      </c>
      <c r="L79" s="25" t="s">
        <v>130</v>
      </c>
      <c r="M79" s="11"/>
    </row>
    <row r="80" spans="1:13" ht="30.75">
      <c r="A80" s="9"/>
      <c r="B80" s="25">
        <v>2</v>
      </c>
      <c r="C80" s="22" t="s">
        <v>270</v>
      </c>
      <c r="D80" s="22" t="s">
        <v>130</v>
      </c>
      <c r="E80" s="25" t="s">
        <v>130</v>
      </c>
      <c r="F80" s="11"/>
      <c r="H80" s="9"/>
      <c r="I80" s="25">
        <v>2</v>
      </c>
      <c r="J80" s="22" t="s">
        <v>248</v>
      </c>
      <c r="K80" s="22" t="s">
        <v>130</v>
      </c>
      <c r="L80" s="25" t="s">
        <v>130</v>
      </c>
      <c r="M80" s="11"/>
    </row>
    <row r="81" spans="1:13" ht="30.75">
      <c r="A81" s="9"/>
      <c r="B81" s="25">
        <v>3</v>
      </c>
      <c r="C81" s="22" t="s">
        <v>241</v>
      </c>
      <c r="D81" s="22" t="s">
        <v>130</v>
      </c>
      <c r="E81" s="25" t="s">
        <v>130</v>
      </c>
      <c r="F81" s="11"/>
      <c r="H81" s="9"/>
      <c r="I81" s="25">
        <v>3</v>
      </c>
      <c r="J81" s="22" t="s">
        <v>242</v>
      </c>
      <c r="K81" s="22" t="s">
        <v>130</v>
      </c>
      <c r="L81" s="25" t="s">
        <v>130</v>
      </c>
      <c r="M81" s="11"/>
    </row>
    <row r="82" spans="1:13" ht="30.75">
      <c r="A82" s="9"/>
      <c r="B82" s="25">
        <v>4</v>
      </c>
      <c r="C82" s="22" t="s">
        <v>141</v>
      </c>
      <c r="D82" s="22" t="s">
        <v>130</v>
      </c>
      <c r="E82" s="25" t="s">
        <v>130</v>
      </c>
      <c r="F82" s="11"/>
      <c r="H82" s="9"/>
      <c r="I82" s="25">
        <v>4</v>
      </c>
      <c r="J82" s="22" t="s">
        <v>246</v>
      </c>
      <c r="K82" s="22" t="s">
        <v>130</v>
      </c>
      <c r="L82" s="25" t="s">
        <v>130</v>
      </c>
      <c r="M82" s="11"/>
    </row>
    <row r="83" spans="1:13" ht="33.75" thickBot="1">
      <c r="A83" s="12"/>
      <c r="B83" s="23"/>
      <c r="C83" s="24"/>
      <c r="D83" s="24"/>
      <c r="E83" s="24"/>
      <c r="F83" s="13"/>
      <c r="H83" s="12"/>
      <c r="I83" s="23"/>
      <c r="J83" s="24"/>
      <c r="K83" s="24"/>
      <c r="L83" s="24"/>
      <c r="M83" s="13"/>
    </row>
    <row r="84" spans="1:13" ht="15.75" thickBot="1"/>
    <row r="85" spans="1:13" ht="35.25">
      <c r="A85" s="6"/>
      <c r="B85" s="17"/>
      <c r="C85" s="7"/>
      <c r="D85" s="21" t="s">
        <v>272</v>
      </c>
      <c r="E85" s="7"/>
      <c r="F85" s="8"/>
      <c r="H85" s="6"/>
      <c r="I85" s="17"/>
      <c r="J85" s="7"/>
      <c r="K85" s="21" t="s">
        <v>272</v>
      </c>
      <c r="L85" s="7"/>
      <c r="M85" s="8"/>
    </row>
    <row r="86" spans="1:13" ht="30.75">
      <c r="A86" s="9"/>
      <c r="B86" s="25">
        <v>1</v>
      </c>
      <c r="C86" s="22" t="s">
        <v>190</v>
      </c>
      <c r="D86" s="22" t="s">
        <v>130</v>
      </c>
      <c r="E86" s="25" t="s">
        <v>130</v>
      </c>
      <c r="F86" s="11"/>
      <c r="H86" s="9"/>
      <c r="I86" s="25">
        <v>1</v>
      </c>
      <c r="J86" s="22" t="s">
        <v>244</v>
      </c>
      <c r="K86" s="22" t="s">
        <v>245</v>
      </c>
      <c r="L86" s="25" t="s">
        <v>199</v>
      </c>
      <c r="M86" s="11"/>
    </row>
    <row r="87" spans="1:13" ht="30.75">
      <c r="A87" s="9"/>
      <c r="B87" s="25">
        <v>2</v>
      </c>
      <c r="C87" s="22" t="s">
        <v>177</v>
      </c>
      <c r="D87" s="22" t="s">
        <v>130</v>
      </c>
      <c r="E87" s="25" t="s">
        <v>130</v>
      </c>
      <c r="F87" s="11"/>
      <c r="H87" s="9"/>
      <c r="I87" s="25">
        <v>2</v>
      </c>
      <c r="J87" s="22" t="s">
        <v>219</v>
      </c>
      <c r="K87" s="22" t="s">
        <v>130</v>
      </c>
      <c r="L87" s="25" t="s">
        <v>130</v>
      </c>
      <c r="M87" s="11"/>
    </row>
    <row r="88" spans="1:13" ht="30.75">
      <c r="A88" s="9"/>
      <c r="B88" s="25">
        <v>3</v>
      </c>
      <c r="C88" s="22" t="s">
        <v>251</v>
      </c>
      <c r="D88" s="22" t="s">
        <v>130</v>
      </c>
      <c r="E88" s="25" t="s">
        <v>130</v>
      </c>
      <c r="F88" s="11"/>
      <c r="H88" s="9"/>
      <c r="I88" s="25">
        <v>3</v>
      </c>
      <c r="J88" s="22" t="s">
        <v>154</v>
      </c>
      <c r="K88" s="22" t="s">
        <v>130</v>
      </c>
      <c r="L88" s="25" t="s">
        <v>130</v>
      </c>
      <c r="M88" s="11"/>
    </row>
    <row r="89" spans="1:13" ht="30.75">
      <c r="A89" s="9"/>
      <c r="B89" s="25">
        <v>4</v>
      </c>
      <c r="C89" s="22" t="s">
        <v>163</v>
      </c>
      <c r="D89" s="22" t="s">
        <v>130</v>
      </c>
      <c r="E89" s="25" t="s">
        <v>130</v>
      </c>
      <c r="F89" s="11"/>
      <c r="H89" s="9"/>
      <c r="I89" s="25">
        <v>4</v>
      </c>
      <c r="J89" s="22" t="s">
        <v>141</v>
      </c>
      <c r="K89" s="22" t="s">
        <v>130</v>
      </c>
      <c r="L89" s="25" t="s">
        <v>130</v>
      </c>
      <c r="M89" s="11"/>
    </row>
    <row r="90" spans="1:13" ht="33.75" thickBot="1">
      <c r="A90" s="12"/>
      <c r="B90" s="23"/>
      <c r="C90" s="24"/>
      <c r="D90" s="24"/>
      <c r="E90" s="24"/>
      <c r="F90" s="13"/>
      <c r="H90" s="12"/>
      <c r="I90" s="23"/>
      <c r="J90" s="24"/>
      <c r="K90" s="24"/>
      <c r="L90" s="24"/>
      <c r="M90" s="13"/>
    </row>
    <row r="91" spans="1:13" ht="15.75" thickBot="1"/>
    <row r="92" spans="1:13" ht="35.25">
      <c r="A92" s="6"/>
      <c r="B92" s="17"/>
      <c r="C92" s="7"/>
      <c r="D92" s="21" t="s">
        <v>272</v>
      </c>
      <c r="E92" s="7"/>
      <c r="F92" s="8"/>
      <c r="H92" s="6"/>
      <c r="I92" s="17"/>
      <c r="J92" s="7"/>
      <c r="K92" s="21" t="s">
        <v>272</v>
      </c>
      <c r="L92" s="7"/>
      <c r="M92" s="8"/>
    </row>
    <row r="93" spans="1:13" ht="30.75">
      <c r="A93" s="9"/>
      <c r="B93" s="25">
        <v>1</v>
      </c>
      <c r="C93" s="22" t="s">
        <v>172</v>
      </c>
      <c r="D93" s="22" t="s">
        <v>213</v>
      </c>
      <c r="E93" s="25" t="s">
        <v>199</v>
      </c>
      <c r="F93" s="11"/>
      <c r="H93" s="9"/>
      <c r="I93" s="25">
        <v>1</v>
      </c>
      <c r="J93" s="22" t="s">
        <v>181</v>
      </c>
      <c r="K93" s="22" t="s">
        <v>130</v>
      </c>
      <c r="L93" s="25" t="s">
        <v>130</v>
      </c>
      <c r="M93" s="11"/>
    </row>
    <row r="94" spans="1:13" ht="30.75">
      <c r="A94" s="9"/>
      <c r="B94" s="25">
        <v>2</v>
      </c>
      <c r="C94" s="22" t="s">
        <v>150</v>
      </c>
      <c r="D94" s="22" t="s">
        <v>151</v>
      </c>
      <c r="E94" s="25" t="s">
        <v>199</v>
      </c>
      <c r="F94" s="11"/>
      <c r="H94" s="9"/>
      <c r="I94" s="25">
        <v>2</v>
      </c>
      <c r="J94" s="22" t="s">
        <v>214</v>
      </c>
      <c r="K94" s="22" t="s">
        <v>143</v>
      </c>
      <c r="L94" s="25" t="s">
        <v>199</v>
      </c>
      <c r="M94" s="11"/>
    </row>
    <row r="95" spans="1:13" ht="30.75">
      <c r="A95" s="9"/>
      <c r="B95" s="25">
        <v>3</v>
      </c>
      <c r="C95" s="22" t="s">
        <v>173</v>
      </c>
      <c r="D95" s="22" t="s">
        <v>174</v>
      </c>
      <c r="E95" s="25" t="s">
        <v>199</v>
      </c>
      <c r="F95" s="11"/>
      <c r="H95" s="9"/>
      <c r="I95" s="25">
        <v>3</v>
      </c>
      <c r="J95" s="22" t="s">
        <v>173</v>
      </c>
      <c r="K95" s="22" t="s">
        <v>174</v>
      </c>
      <c r="L95" s="25" t="s">
        <v>199</v>
      </c>
      <c r="M95" s="11"/>
    </row>
    <row r="96" spans="1:13" ht="30.75">
      <c r="A96" s="9"/>
      <c r="B96" s="25">
        <v>4</v>
      </c>
      <c r="C96" s="22" t="s">
        <v>145</v>
      </c>
      <c r="D96" s="22" t="s">
        <v>130</v>
      </c>
      <c r="E96" s="25" t="s">
        <v>130</v>
      </c>
      <c r="F96" s="11"/>
      <c r="H96" s="9"/>
      <c r="I96" s="25">
        <v>4</v>
      </c>
      <c r="J96" s="22" t="s">
        <v>175</v>
      </c>
      <c r="K96" s="22" t="s">
        <v>130</v>
      </c>
      <c r="L96" s="25" t="s">
        <v>130</v>
      </c>
      <c r="M96" s="11"/>
    </row>
    <row r="97" spans="1:13" ht="33.75" thickBot="1">
      <c r="A97" s="12"/>
      <c r="B97" s="23"/>
      <c r="C97" s="24"/>
      <c r="D97" s="24"/>
      <c r="E97" s="24"/>
      <c r="F97" s="13"/>
      <c r="H97" s="12"/>
      <c r="I97" s="23"/>
      <c r="J97" s="24"/>
      <c r="K97" s="24"/>
      <c r="L97" s="24"/>
      <c r="M97" s="13"/>
    </row>
    <row r="98" spans="1:13" ht="15.75" thickBot="1"/>
    <row r="99" spans="1:13" ht="35.25">
      <c r="A99" s="6"/>
      <c r="B99" s="17"/>
      <c r="C99" s="7"/>
      <c r="D99" s="21" t="s">
        <v>272</v>
      </c>
      <c r="E99" s="7"/>
      <c r="F99" s="8"/>
      <c r="H99" s="6"/>
      <c r="I99" s="17"/>
      <c r="J99" s="7"/>
      <c r="K99" s="21" t="s">
        <v>272</v>
      </c>
      <c r="L99" s="7"/>
      <c r="M99" s="8"/>
    </row>
    <row r="100" spans="1:13" ht="30.75">
      <c r="A100" s="9"/>
      <c r="B100" s="25">
        <v>1</v>
      </c>
      <c r="C100" s="22" t="s">
        <v>164</v>
      </c>
      <c r="D100" s="22" t="s">
        <v>130</v>
      </c>
      <c r="E100" s="25" t="s">
        <v>130</v>
      </c>
      <c r="F100" s="11"/>
      <c r="H100" s="9"/>
      <c r="I100" s="25">
        <v>1</v>
      </c>
      <c r="J100" s="22" t="s">
        <v>169</v>
      </c>
      <c r="K100" s="22" t="s">
        <v>130</v>
      </c>
      <c r="L100" s="25" t="s">
        <v>130</v>
      </c>
      <c r="M100" s="11"/>
    </row>
    <row r="101" spans="1:13" ht="30.75">
      <c r="A101" s="9"/>
      <c r="B101" s="25">
        <v>2</v>
      </c>
      <c r="C101" s="22" t="s">
        <v>274</v>
      </c>
      <c r="D101" s="22" t="s">
        <v>130</v>
      </c>
      <c r="E101" s="25" t="s">
        <v>130</v>
      </c>
      <c r="F101" s="11"/>
      <c r="H101" s="9"/>
      <c r="I101" s="25">
        <v>2</v>
      </c>
      <c r="J101" s="22" t="s">
        <v>150</v>
      </c>
      <c r="K101" s="22" t="s">
        <v>151</v>
      </c>
      <c r="L101" s="25" t="s">
        <v>199</v>
      </c>
      <c r="M101" s="11"/>
    </row>
    <row r="102" spans="1:13" ht="30.75">
      <c r="A102" s="9"/>
      <c r="B102" s="25">
        <v>3</v>
      </c>
      <c r="C102" s="22" t="s">
        <v>241</v>
      </c>
      <c r="D102" s="22" t="s">
        <v>130</v>
      </c>
      <c r="E102" s="25" t="s">
        <v>130</v>
      </c>
      <c r="F102" s="11"/>
      <c r="H102" s="9"/>
      <c r="I102" s="25">
        <v>3</v>
      </c>
      <c r="J102" s="22" t="s">
        <v>250</v>
      </c>
      <c r="K102" s="22" t="s">
        <v>130</v>
      </c>
      <c r="L102" s="25" t="s">
        <v>130</v>
      </c>
      <c r="M102" s="11"/>
    </row>
    <row r="103" spans="1:13" ht="30.75">
      <c r="A103" s="9"/>
      <c r="B103" s="25">
        <v>4</v>
      </c>
      <c r="C103" s="22" t="s">
        <v>149</v>
      </c>
      <c r="D103" s="22" t="s">
        <v>130</v>
      </c>
      <c r="E103" s="25" t="s">
        <v>130</v>
      </c>
      <c r="F103" s="11"/>
      <c r="H103" s="9"/>
      <c r="I103" s="25">
        <v>4</v>
      </c>
      <c r="J103" s="22" t="s">
        <v>145</v>
      </c>
      <c r="K103" s="22" t="s">
        <v>130</v>
      </c>
      <c r="L103" s="25" t="s">
        <v>130</v>
      </c>
      <c r="M103" s="11"/>
    </row>
    <row r="104" spans="1:13" ht="123" customHeight="1" thickBot="1">
      <c r="A104" s="12"/>
      <c r="B104" s="23"/>
      <c r="C104" s="24"/>
      <c r="D104" s="24"/>
      <c r="E104" s="24"/>
      <c r="F104" s="13"/>
      <c r="H104" s="12"/>
      <c r="I104" s="23"/>
      <c r="J104" s="24"/>
      <c r="K104" s="24"/>
      <c r="L104" s="24"/>
      <c r="M104" s="13"/>
    </row>
    <row r="105" spans="1:13" ht="15.75" thickBot="1"/>
    <row r="106" spans="1:13" ht="35.25">
      <c r="A106" s="6"/>
      <c r="B106" s="17"/>
      <c r="C106" s="7"/>
      <c r="D106" s="21" t="s">
        <v>272</v>
      </c>
      <c r="E106" s="7"/>
      <c r="F106" s="8"/>
      <c r="H106" s="6"/>
      <c r="I106" s="17"/>
      <c r="J106" s="7"/>
      <c r="K106" s="21" t="s">
        <v>272</v>
      </c>
      <c r="L106" s="7"/>
      <c r="M106" s="8"/>
    </row>
    <row r="107" spans="1:13" ht="30.75">
      <c r="A107" s="9"/>
      <c r="B107" s="25">
        <v>1</v>
      </c>
      <c r="C107" s="22" t="s">
        <v>187</v>
      </c>
      <c r="D107" s="22" t="s">
        <v>130</v>
      </c>
      <c r="E107" s="25" t="s">
        <v>130</v>
      </c>
      <c r="F107" s="11"/>
      <c r="H107" s="9"/>
      <c r="I107" s="25">
        <v>1</v>
      </c>
      <c r="J107" s="22" t="s">
        <v>169</v>
      </c>
      <c r="K107" s="22" t="s">
        <v>130</v>
      </c>
      <c r="L107" s="25" t="s">
        <v>130</v>
      </c>
      <c r="M107" s="11"/>
    </row>
    <row r="108" spans="1:13" ht="30.75">
      <c r="A108" s="9"/>
      <c r="B108" s="25">
        <v>2</v>
      </c>
      <c r="C108" s="22" t="s">
        <v>131</v>
      </c>
      <c r="D108" s="22" t="s">
        <v>132</v>
      </c>
      <c r="E108" s="25" t="s">
        <v>199</v>
      </c>
      <c r="F108" s="11"/>
      <c r="H108" s="9"/>
      <c r="I108" s="25">
        <v>2</v>
      </c>
      <c r="J108" s="22" t="s">
        <v>150</v>
      </c>
      <c r="K108" s="22" t="s">
        <v>151</v>
      </c>
      <c r="L108" s="25" t="s">
        <v>199</v>
      </c>
      <c r="M108" s="11"/>
    </row>
    <row r="109" spans="1:13" ht="30.75">
      <c r="A109" s="9"/>
      <c r="B109" s="25">
        <v>3</v>
      </c>
      <c r="C109" s="22" t="s">
        <v>242</v>
      </c>
      <c r="D109" s="22" t="s">
        <v>130</v>
      </c>
      <c r="E109" s="25" t="s">
        <v>130</v>
      </c>
      <c r="F109" s="11"/>
      <c r="H109" s="9"/>
      <c r="I109" s="25">
        <v>3</v>
      </c>
      <c r="J109" s="22" t="s">
        <v>253</v>
      </c>
      <c r="K109" s="22" t="s">
        <v>130</v>
      </c>
      <c r="L109" s="25" t="s">
        <v>130</v>
      </c>
      <c r="M109" s="11"/>
    </row>
    <row r="110" spans="1:13" ht="30.75">
      <c r="A110" s="9"/>
      <c r="B110" s="25">
        <v>4</v>
      </c>
      <c r="C110" s="22" t="s">
        <v>152</v>
      </c>
      <c r="D110" s="22" t="s">
        <v>130</v>
      </c>
      <c r="E110" s="25" t="s">
        <v>130</v>
      </c>
      <c r="F110" s="11"/>
      <c r="H110" s="9"/>
      <c r="I110" s="25">
        <v>4</v>
      </c>
      <c r="J110" s="22" t="s">
        <v>135</v>
      </c>
      <c r="K110" s="22" t="s">
        <v>130</v>
      </c>
      <c r="L110" s="25" t="s">
        <v>130</v>
      </c>
      <c r="M110" s="11"/>
    </row>
    <row r="111" spans="1:13" ht="33.75" thickBot="1">
      <c r="A111" s="12"/>
      <c r="B111" s="23"/>
      <c r="C111" s="24"/>
      <c r="D111" s="24"/>
      <c r="E111" s="24"/>
      <c r="F111" s="13"/>
      <c r="H111" s="12"/>
      <c r="I111" s="23"/>
      <c r="J111" s="24"/>
      <c r="K111" s="24"/>
      <c r="L111" s="24"/>
      <c r="M111" s="13"/>
    </row>
    <row r="112" spans="1:13" ht="15.75" thickBot="1"/>
    <row r="113" spans="1:13" ht="35.25">
      <c r="A113" s="6"/>
      <c r="B113" s="17"/>
      <c r="C113" s="7"/>
      <c r="D113" s="21" t="s">
        <v>272</v>
      </c>
      <c r="E113" s="7"/>
      <c r="F113" s="8"/>
      <c r="H113" s="6"/>
      <c r="I113" s="17"/>
      <c r="J113" s="7"/>
      <c r="K113" s="21" t="s">
        <v>272</v>
      </c>
      <c r="L113" s="7"/>
      <c r="M113" s="8"/>
    </row>
    <row r="114" spans="1:13" ht="30.75">
      <c r="A114" s="9"/>
      <c r="B114" s="25">
        <v>1</v>
      </c>
      <c r="C114" s="22" t="s">
        <v>208</v>
      </c>
      <c r="D114" s="22" t="s">
        <v>130</v>
      </c>
      <c r="E114" s="25" t="s">
        <v>130</v>
      </c>
      <c r="F114" s="11"/>
      <c r="H114" s="9"/>
      <c r="I114" s="25">
        <v>1</v>
      </c>
      <c r="J114" s="22" t="s">
        <v>190</v>
      </c>
      <c r="K114" s="22" t="s">
        <v>130</v>
      </c>
      <c r="L114" s="25" t="s">
        <v>130</v>
      </c>
      <c r="M114" s="11"/>
    </row>
    <row r="115" spans="1:13" ht="30.75">
      <c r="A115" s="9"/>
      <c r="B115" s="25">
        <v>2</v>
      </c>
      <c r="C115" s="22" t="s">
        <v>247</v>
      </c>
      <c r="D115" s="22" t="s">
        <v>130</v>
      </c>
      <c r="E115" s="25" t="s">
        <v>130</v>
      </c>
      <c r="F115" s="11"/>
      <c r="H115" s="9"/>
      <c r="I115" s="25">
        <v>2</v>
      </c>
      <c r="J115" s="22" t="s">
        <v>247</v>
      </c>
      <c r="K115" s="22" t="s">
        <v>130</v>
      </c>
      <c r="L115" s="25" t="s">
        <v>130</v>
      </c>
      <c r="M115" s="11"/>
    </row>
    <row r="116" spans="1:13" ht="30.75">
      <c r="A116" s="9"/>
      <c r="B116" s="25">
        <v>3</v>
      </c>
      <c r="C116" s="22" t="s">
        <v>241</v>
      </c>
      <c r="D116" s="22" t="s">
        <v>130</v>
      </c>
      <c r="E116" s="25" t="s">
        <v>130</v>
      </c>
      <c r="F116" s="11"/>
      <c r="H116" s="9"/>
      <c r="I116" s="25">
        <v>3</v>
      </c>
      <c r="J116" s="22" t="s">
        <v>158</v>
      </c>
      <c r="K116" s="22" t="s">
        <v>130</v>
      </c>
      <c r="L116" s="25" t="s">
        <v>130</v>
      </c>
      <c r="M116" s="11"/>
    </row>
    <row r="117" spans="1:13" ht="30.75">
      <c r="A117" s="9"/>
      <c r="B117" s="25">
        <v>4</v>
      </c>
      <c r="C117" s="22" t="s">
        <v>184</v>
      </c>
      <c r="D117" s="22" t="s">
        <v>130</v>
      </c>
      <c r="E117" s="25" t="s">
        <v>130</v>
      </c>
      <c r="F117" s="11"/>
      <c r="H117" s="9"/>
      <c r="I117" s="25">
        <v>4</v>
      </c>
      <c r="J117" s="22" t="s">
        <v>184</v>
      </c>
      <c r="K117" s="22" t="s">
        <v>130</v>
      </c>
      <c r="L117" s="25" t="s">
        <v>130</v>
      </c>
      <c r="M117" s="11"/>
    </row>
    <row r="118" spans="1:13" ht="33.75" thickBot="1">
      <c r="A118" s="12"/>
      <c r="B118" s="23"/>
      <c r="C118" s="24"/>
      <c r="D118" s="24"/>
      <c r="E118" s="24"/>
      <c r="F118" s="13"/>
      <c r="H118" s="12"/>
      <c r="I118" s="23"/>
      <c r="J118" s="24"/>
      <c r="K118" s="24"/>
      <c r="L118" s="24"/>
      <c r="M118" s="13"/>
    </row>
    <row r="119" spans="1:13" ht="15.75" thickBot="1"/>
    <row r="120" spans="1:13" ht="35.25">
      <c r="A120" s="6"/>
      <c r="B120" s="17"/>
      <c r="C120" s="7"/>
      <c r="D120" s="21" t="s">
        <v>272</v>
      </c>
      <c r="E120" s="7"/>
      <c r="F120" s="8"/>
      <c r="H120" s="6"/>
      <c r="I120" s="17"/>
      <c r="J120" s="7"/>
      <c r="K120" s="21" t="s">
        <v>272</v>
      </c>
      <c r="L120" s="7"/>
      <c r="M120" s="8"/>
    </row>
    <row r="121" spans="1:13" ht="30.75">
      <c r="A121" s="9"/>
      <c r="B121" s="25">
        <v>1</v>
      </c>
      <c r="C121" s="22" t="s">
        <v>276</v>
      </c>
      <c r="D121" s="22" t="s">
        <v>130</v>
      </c>
      <c r="E121" s="25" t="s">
        <v>130</v>
      </c>
      <c r="F121" s="11"/>
      <c r="H121" s="9"/>
      <c r="I121" s="25">
        <v>1</v>
      </c>
      <c r="J121" s="22" t="s">
        <v>268</v>
      </c>
      <c r="K121" s="22" t="s">
        <v>130</v>
      </c>
      <c r="L121" s="25" t="s">
        <v>130</v>
      </c>
      <c r="M121" s="11"/>
    </row>
    <row r="122" spans="1:13" ht="30.75">
      <c r="A122" s="9"/>
      <c r="B122" s="25">
        <v>2</v>
      </c>
      <c r="C122" s="22" t="s">
        <v>196</v>
      </c>
      <c r="D122" s="22" t="s">
        <v>255</v>
      </c>
      <c r="E122" s="25" t="s">
        <v>256</v>
      </c>
      <c r="F122" s="11"/>
      <c r="H122" s="9"/>
      <c r="I122" s="25">
        <v>2</v>
      </c>
      <c r="J122" s="22" t="s">
        <v>192</v>
      </c>
      <c r="K122" s="22" t="s">
        <v>130</v>
      </c>
      <c r="L122" s="25" t="s">
        <v>130</v>
      </c>
      <c r="M122" s="11"/>
    </row>
    <row r="123" spans="1:13" ht="30.75">
      <c r="A123" s="9"/>
      <c r="B123" s="25">
        <v>3</v>
      </c>
      <c r="C123" s="22" t="s">
        <v>249</v>
      </c>
      <c r="D123" s="22" t="s">
        <v>260</v>
      </c>
      <c r="E123" s="25" t="s">
        <v>199</v>
      </c>
      <c r="F123" s="11"/>
      <c r="H123" s="9"/>
      <c r="I123" s="25">
        <v>3</v>
      </c>
      <c r="J123" s="22" t="s">
        <v>242</v>
      </c>
      <c r="K123" s="22" t="s">
        <v>130</v>
      </c>
      <c r="L123" s="25" t="s">
        <v>130</v>
      </c>
      <c r="M123" s="11"/>
    </row>
    <row r="124" spans="1:13" ht="30.75">
      <c r="A124" s="9"/>
      <c r="B124" s="25">
        <v>4</v>
      </c>
      <c r="C124" s="22" t="s">
        <v>149</v>
      </c>
      <c r="D124" s="22" t="s">
        <v>130</v>
      </c>
      <c r="E124" s="25" t="s">
        <v>130</v>
      </c>
      <c r="F124" s="11"/>
      <c r="H124" s="9"/>
      <c r="I124" s="25">
        <v>4</v>
      </c>
      <c r="J124" s="22" t="s">
        <v>168</v>
      </c>
      <c r="K124" s="22" t="s">
        <v>130</v>
      </c>
      <c r="L124" s="25" t="s">
        <v>130</v>
      </c>
      <c r="M124" s="11"/>
    </row>
    <row r="125" spans="1:13" ht="33.75" thickBot="1">
      <c r="A125" s="12"/>
      <c r="B125" s="23"/>
      <c r="C125" s="24"/>
      <c r="D125" s="24"/>
      <c r="E125" s="24"/>
      <c r="F125" s="13"/>
      <c r="H125" s="12"/>
      <c r="I125" s="23"/>
      <c r="J125" s="24"/>
      <c r="K125" s="24"/>
      <c r="L125" s="24"/>
      <c r="M125" s="13"/>
    </row>
    <row r="126" spans="1:13" ht="15.75" thickBot="1"/>
    <row r="127" spans="1:13" ht="35.25">
      <c r="A127" s="6"/>
      <c r="B127" s="17"/>
      <c r="C127" s="7"/>
      <c r="D127" s="21" t="s">
        <v>272</v>
      </c>
      <c r="E127" s="7"/>
      <c r="F127" s="8"/>
      <c r="H127" s="6"/>
      <c r="I127" s="17"/>
      <c r="J127" s="7"/>
      <c r="K127" s="21" t="s">
        <v>272</v>
      </c>
      <c r="L127" s="7"/>
      <c r="M127" s="8"/>
    </row>
    <row r="128" spans="1:13" ht="30.75">
      <c r="A128" s="9"/>
      <c r="B128" s="25">
        <v>1</v>
      </c>
      <c r="C128" s="22" t="s">
        <v>178</v>
      </c>
      <c r="D128" s="22" t="s">
        <v>130</v>
      </c>
      <c r="E128" s="25" t="s">
        <v>130</v>
      </c>
      <c r="F128" s="11"/>
      <c r="H128" s="9"/>
      <c r="I128" s="25">
        <v>1</v>
      </c>
      <c r="J128" s="22" t="s">
        <v>170</v>
      </c>
      <c r="K128" s="22" t="s">
        <v>130</v>
      </c>
      <c r="L128" s="25" t="s">
        <v>130</v>
      </c>
      <c r="M128" s="11"/>
    </row>
    <row r="129" spans="1:13" ht="30.75">
      <c r="A129" s="9"/>
      <c r="B129" s="25">
        <v>2</v>
      </c>
      <c r="C129" s="22" t="s">
        <v>270</v>
      </c>
      <c r="D129" s="22" t="s">
        <v>130</v>
      </c>
      <c r="E129" s="25" t="s">
        <v>130</v>
      </c>
      <c r="F129" s="11"/>
      <c r="H129" s="9"/>
      <c r="I129" s="25">
        <v>2</v>
      </c>
      <c r="J129" s="22" t="s">
        <v>221</v>
      </c>
      <c r="K129" s="22" t="s">
        <v>130</v>
      </c>
      <c r="L129" s="25" t="s">
        <v>130</v>
      </c>
      <c r="M129" s="11"/>
    </row>
    <row r="130" spans="1:13" ht="30.75">
      <c r="A130" s="9"/>
      <c r="B130" s="25">
        <v>3</v>
      </c>
      <c r="C130" s="22" t="s">
        <v>154</v>
      </c>
      <c r="D130" s="22" t="s">
        <v>130</v>
      </c>
      <c r="E130" s="25" t="s">
        <v>130</v>
      </c>
      <c r="F130" s="11"/>
      <c r="H130" s="9"/>
      <c r="I130" s="25">
        <v>3</v>
      </c>
      <c r="J130" s="22" t="s">
        <v>249</v>
      </c>
      <c r="K130" s="22" t="s">
        <v>260</v>
      </c>
      <c r="L130" s="25" t="s">
        <v>199</v>
      </c>
      <c r="M130" s="11"/>
    </row>
    <row r="131" spans="1:13" ht="30.75">
      <c r="A131" s="9"/>
      <c r="B131" s="25">
        <v>4</v>
      </c>
      <c r="C131" s="22" t="s">
        <v>168</v>
      </c>
      <c r="D131" s="22" t="s">
        <v>130</v>
      </c>
      <c r="E131" s="25" t="s">
        <v>130</v>
      </c>
      <c r="F131" s="11"/>
      <c r="H131" s="9"/>
      <c r="I131" s="25">
        <v>4</v>
      </c>
      <c r="J131" s="22" t="s">
        <v>184</v>
      </c>
      <c r="K131" s="22" t="s">
        <v>130</v>
      </c>
      <c r="L131" s="25" t="s">
        <v>130</v>
      </c>
      <c r="M131" s="11"/>
    </row>
    <row r="132" spans="1:13" ht="33.75" thickBot="1">
      <c r="A132" s="12"/>
      <c r="B132" s="23"/>
      <c r="C132" s="24"/>
      <c r="D132" s="24"/>
      <c r="E132" s="24"/>
      <c r="F132" s="13"/>
      <c r="H132" s="12"/>
      <c r="I132" s="23"/>
      <c r="J132" s="24"/>
      <c r="K132" s="24"/>
      <c r="L132" s="24"/>
      <c r="M132" s="13"/>
    </row>
    <row r="133" spans="1:13" ht="15.75" thickBot="1"/>
    <row r="134" spans="1:13" ht="35.25">
      <c r="A134" s="6"/>
      <c r="B134" s="17"/>
      <c r="C134" s="7"/>
      <c r="D134" s="21" t="s">
        <v>272</v>
      </c>
      <c r="E134" s="7"/>
      <c r="F134" s="8"/>
      <c r="H134" s="6"/>
      <c r="I134" s="17"/>
      <c r="J134" s="7"/>
      <c r="K134" s="21" t="s">
        <v>272</v>
      </c>
      <c r="L134" s="7"/>
      <c r="M134" s="8"/>
    </row>
    <row r="135" spans="1:13" ht="30.75">
      <c r="A135" s="9"/>
      <c r="B135" s="25">
        <v>1</v>
      </c>
      <c r="C135" s="22" t="s">
        <v>182</v>
      </c>
      <c r="D135" s="22" t="s">
        <v>183</v>
      </c>
      <c r="E135" s="25" t="s">
        <v>199</v>
      </c>
      <c r="F135" s="11"/>
      <c r="H135" s="9"/>
      <c r="I135" s="25">
        <v>1</v>
      </c>
      <c r="J135" s="22" t="s">
        <v>281</v>
      </c>
      <c r="K135" s="22" t="s">
        <v>130</v>
      </c>
      <c r="L135" s="25" t="s">
        <v>130</v>
      </c>
      <c r="M135" s="11"/>
    </row>
    <row r="136" spans="1:13" ht="30.75">
      <c r="A136" s="9"/>
      <c r="B136" s="25">
        <v>2</v>
      </c>
      <c r="C136" s="22" t="s">
        <v>162</v>
      </c>
      <c r="D136" s="22" t="s">
        <v>130</v>
      </c>
      <c r="E136" s="25" t="s">
        <v>130</v>
      </c>
      <c r="F136" s="11"/>
      <c r="H136" s="9"/>
      <c r="I136" s="25">
        <v>2</v>
      </c>
      <c r="J136" s="22" t="s">
        <v>193</v>
      </c>
      <c r="K136" s="22" t="s">
        <v>258</v>
      </c>
      <c r="L136" s="25" t="s">
        <v>199</v>
      </c>
      <c r="M136" s="11"/>
    </row>
    <row r="137" spans="1:13" ht="30.75">
      <c r="A137" s="9"/>
      <c r="B137" s="25">
        <v>3</v>
      </c>
      <c r="C137" s="22" t="s">
        <v>173</v>
      </c>
      <c r="D137" s="22" t="s">
        <v>174</v>
      </c>
      <c r="E137" s="25" t="s">
        <v>199</v>
      </c>
      <c r="F137" s="11"/>
      <c r="H137" s="9"/>
      <c r="I137" s="25">
        <v>3</v>
      </c>
      <c r="J137" s="22" t="s">
        <v>173</v>
      </c>
      <c r="K137" s="22" t="s">
        <v>174</v>
      </c>
      <c r="L137" s="25" t="s">
        <v>199</v>
      </c>
      <c r="M137" s="11"/>
    </row>
    <row r="138" spans="1:13" ht="30.75">
      <c r="A138" s="9"/>
      <c r="B138" s="25">
        <v>4</v>
      </c>
      <c r="C138" s="22" t="s">
        <v>141</v>
      </c>
      <c r="D138" s="22" t="s">
        <v>130</v>
      </c>
      <c r="E138" s="25" t="s">
        <v>130</v>
      </c>
      <c r="F138" s="11"/>
      <c r="H138" s="9"/>
      <c r="I138" s="25">
        <v>4</v>
      </c>
      <c r="J138" s="22" t="s">
        <v>243</v>
      </c>
      <c r="K138" s="22" t="s">
        <v>130</v>
      </c>
      <c r="L138" s="25" t="s">
        <v>130</v>
      </c>
      <c r="M138" s="11"/>
    </row>
    <row r="139" spans="1:13" ht="33.75" thickBot="1">
      <c r="A139" s="12"/>
      <c r="B139" s="23"/>
      <c r="C139" s="24"/>
      <c r="D139" s="24"/>
      <c r="E139" s="24"/>
      <c r="F139" s="13"/>
      <c r="H139" s="12"/>
      <c r="I139" s="23"/>
      <c r="J139" s="24"/>
      <c r="K139" s="24"/>
      <c r="L139" s="24"/>
      <c r="M139" s="13"/>
    </row>
    <row r="140" spans="1:13" ht="15.75" thickBot="1"/>
    <row r="141" spans="1:13" ht="35.25">
      <c r="A141" s="6"/>
      <c r="B141" s="17"/>
      <c r="C141" s="7"/>
      <c r="D141" s="21" t="s">
        <v>272</v>
      </c>
      <c r="E141" s="7"/>
      <c r="F141" s="8"/>
      <c r="H141" s="6"/>
      <c r="I141" s="17"/>
      <c r="J141" s="7"/>
      <c r="K141" s="21" t="s">
        <v>272</v>
      </c>
      <c r="L141" s="7"/>
      <c r="M141" s="8"/>
    </row>
    <row r="142" spans="1:13" ht="30.75">
      <c r="A142" s="9"/>
      <c r="B142" s="25">
        <v>1</v>
      </c>
      <c r="C142" s="22" t="s">
        <v>178</v>
      </c>
      <c r="D142" s="22" t="s">
        <v>130</v>
      </c>
      <c r="E142" s="25" t="s">
        <v>130</v>
      </c>
      <c r="F142" s="11"/>
      <c r="H142" s="9"/>
      <c r="I142" s="25">
        <v>1</v>
      </c>
      <c r="J142" s="22" t="s">
        <v>216</v>
      </c>
      <c r="K142" s="22" t="s">
        <v>217</v>
      </c>
      <c r="L142" s="25" t="s">
        <v>199</v>
      </c>
      <c r="M142" s="11"/>
    </row>
    <row r="143" spans="1:13" ht="30.75">
      <c r="A143" s="9"/>
      <c r="B143" s="25">
        <v>2</v>
      </c>
      <c r="C143" s="22" t="s">
        <v>254</v>
      </c>
      <c r="D143" s="22" t="s">
        <v>130</v>
      </c>
      <c r="E143" s="25" t="s">
        <v>130</v>
      </c>
      <c r="F143" s="11"/>
      <c r="H143" s="9"/>
      <c r="I143" s="25">
        <v>2</v>
      </c>
      <c r="J143" s="22" t="s">
        <v>148</v>
      </c>
      <c r="K143" s="22" t="s">
        <v>130</v>
      </c>
      <c r="L143" s="25" t="s">
        <v>130</v>
      </c>
      <c r="M143" s="11"/>
    </row>
    <row r="144" spans="1:13" ht="30.75">
      <c r="A144" s="9"/>
      <c r="B144" s="25">
        <v>3</v>
      </c>
      <c r="C144" s="22" t="s">
        <v>139</v>
      </c>
      <c r="D144" s="22" t="s">
        <v>140</v>
      </c>
      <c r="E144" s="25" t="s">
        <v>199</v>
      </c>
      <c r="F144" s="11"/>
      <c r="H144" s="9"/>
      <c r="I144" s="25">
        <v>3</v>
      </c>
      <c r="J144" s="22" t="s">
        <v>250</v>
      </c>
      <c r="K144" s="22" t="s">
        <v>130</v>
      </c>
      <c r="L144" s="25" t="s">
        <v>130</v>
      </c>
      <c r="M144" s="11"/>
    </row>
    <row r="145" spans="1:13" ht="30.75">
      <c r="A145" s="9"/>
      <c r="B145" s="25">
        <v>4</v>
      </c>
      <c r="C145" s="22" t="s">
        <v>135</v>
      </c>
      <c r="D145" s="22" t="s">
        <v>130</v>
      </c>
      <c r="E145" s="25" t="s">
        <v>130</v>
      </c>
      <c r="F145" s="11"/>
      <c r="H145" s="9"/>
      <c r="I145" s="25">
        <v>4</v>
      </c>
      <c r="J145" s="22" t="s">
        <v>243</v>
      </c>
      <c r="K145" s="22" t="s">
        <v>130</v>
      </c>
      <c r="L145" s="25" t="s">
        <v>130</v>
      </c>
      <c r="M145" s="11"/>
    </row>
    <row r="146" spans="1:13" ht="33.75" thickBot="1">
      <c r="A146" s="12"/>
      <c r="B146" s="23"/>
      <c r="C146" s="24"/>
      <c r="D146" s="24"/>
      <c r="E146" s="24"/>
      <c r="F146" s="13"/>
      <c r="H146" s="12"/>
      <c r="I146" s="23"/>
      <c r="J146" s="24"/>
      <c r="K146" s="24"/>
      <c r="L146" s="24"/>
      <c r="M146" s="13"/>
    </row>
    <row r="147" spans="1:13" ht="15.75" thickBot="1"/>
    <row r="148" spans="1:13" ht="35.25">
      <c r="A148" s="6"/>
      <c r="B148" s="17"/>
      <c r="C148" s="7"/>
      <c r="D148" s="21" t="s">
        <v>272</v>
      </c>
      <c r="E148" s="7"/>
      <c r="F148" s="8"/>
      <c r="H148" s="6"/>
      <c r="I148" s="17"/>
      <c r="J148" s="7"/>
      <c r="K148" s="21" t="s">
        <v>272</v>
      </c>
      <c r="L148" s="7"/>
      <c r="M148" s="8"/>
    </row>
    <row r="149" spans="1:13" ht="30.75">
      <c r="A149" s="9"/>
      <c r="B149" s="25">
        <v>1</v>
      </c>
      <c r="C149" s="22" t="s">
        <v>210</v>
      </c>
      <c r="D149" s="22" t="s">
        <v>130</v>
      </c>
      <c r="E149" s="25" t="s">
        <v>130</v>
      </c>
      <c r="F149" s="11"/>
      <c r="H149" s="9"/>
      <c r="I149" s="25">
        <v>1</v>
      </c>
      <c r="J149" s="22" t="s">
        <v>172</v>
      </c>
      <c r="K149" s="22" t="s">
        <v>213</v>
      </c>
      <c r="L149" s="25" t="s">
        <v>199</v>
      </c>
      <c r="M149" s="11"/>
    </row>
    <row r="150" spans="1:13" ht="30.75">
      <c r="A150" s="9"/>
      <c r="B150" s="25">
        <v>2</v>
      </c>
      <c r="C150" s="22" t="s">
        <v>214</v>
      </c>
      <c r="D150" s="22" t="s">
        <v>143</v>
      </c>
      <c r="E150" s="25" t="s">
        <v>199</v>
      </c>
      <c r="F150" s="11"/>
      <c r="H150" s="9"/>
      <c r="I150" s="25">
        <v>2</v>
      </c>
      <c r="J150" s="22" t="s">
        <v>177</v>
      </c>
      <c r="K150" s="22" t="s">
        <v>130</v>
      </c>
      <c r="L150" s="25" t="s">
        <v>130</v>
      </c>
      <c r="M150" s="11"/>
    </row>
    <row r="151" spans="1:13" ht="30.75">
      <c r="A151" s="9"/>
      <c r="B151" s="25">
        <v>3</v>
      </c>
      <c r="C151" s="22" t="s">
        <v>241</v>
      </c>
      <c r="D151" s="22" t="s">
        <v>130</v>
      </c>
      <c r="E151" s="25" t="s">
        <v>130</v>
      </c>
      <c r="F151" s="11"/>
      <c r="H151" s="9"/>
      <c r="I151" s="25">
        <v>3</v>
      </c>
      <c r="J151" s="22" t="s">
        <v>241</v>
      </c>
      <c r="K151" s="22" t="s">
        <v>130</v>
      </c>
      <c r="L151" s="25" t="s">
        <v>130</v>
      </c>
      <c r="M151" s="11"/>
    </row>
    <row r="152" spans="1:13" ht="30.75">
      <c r="A152" s="9"/>
      <c r="B152" s="25">
        <v>4</v>
      </c>
      <c r="C152" s="22" t="s">
        <v>163</v>
      </c>
      <c r="D152" s="22" t="s">
        <v>130</v>
      </c>
      <c r="E152" s="25" t="s">
        <v>130</v>
      </c>
      <c r="F152" s="11"/>
      <c r="H152" s="9"/>
      <c r="I152" s="25">
        <v>4</v>
      </c>
      <c r="J152" s="22" t="s">
        <v>163</v>
      </c>
      <c r="K152" s="22" t="s">
        <v>130</v>
      </c>
      <c r="L152" s="25" t="s">
        <v>130</v>
      </c>
      <c r="M152" s="11"/>
    </row>
    <row r="153" spans="1:13" ht="33.75" thickBot="1">
      <c r="A153" s="12"/>
      <c r="B153" s="23"/>
      <c r="C153" s="24"/>
      <c r="D153" s="24"/>
      <c r="E153" s="24"/>
      <c r="F153" s="13"/>
      <c r="H153" s="12"/>
      <c r="I153" s="23"/>
      <c r="J153" s="24"/>
      <c r="K153" s="24"/>
      <c r="L153" s="24"/>
      <c r="M153" s="13"/>
    </row>
    <row r="154" spans="1:13" ht="15.75" thickBot="1"/>
    <row r="155" spans="1:13" ht="35.25">
      <c r="A155" s="6"/>
      <c r="B155" s="17"/>
      <c r="C155" s="7"/>
      <c r="D155" s="21" t="s">
        <v>272</v>
      </c>
      <c r="E155" s="7"/>
      <c r="F155" s="8"/>
      <c r="H155" s="6"/>
      <c r="I155" s="17"/>
      <c r="J155" s="7"/>
      <c r="K155" s="21" t="s">
        <v>272</v>
      </c>
      <c r="L155" s="7"/>
      <c r="M155" s="8"/>
    </row>
    <row r="156" spans="1:13" ht="30.75">
      <c r="A156" s="9"/>
      <c r="B156" s="25">
        <v>1</v>
      </c>
      <c r="C156" s="22" t="s">
        <v>146</v>
      </c>
      <c r="D156" s="22" t="s">
        <v>130</v>
      </c>
      <c r="E156" s="25" t="s">
        <v>130</v>
      </c>
      <c r="F156" s="11"/>
      <c r="H156" s="9"/>
      <c r="I156" s="25">
        <v>1</v>
      </c>
      <c r="J156" s="22" t="s">
        <v>169</v>
      </c>
      <c r="K156" s="22" t="s">
        <v>130</v>
      </c>
      <c r="L156" s="25" t="s">
        <v>130</v>
      </c>
      <c r="M156" s="11"/>
    </row>
    <row r="157" spans="1:13" ht="30.75">
      <c r="A157" s="9"/>
      <c r="B157" s="25">
        <v>2</v>
      </c>
      <c r="C157" s="22" t="s">
        <v>150</v>
      </c>
      <c r="D157" s="22" t="s">
        <v>151</v>
      </c>
      <c r="E157" s="25" t="s">
        <v>199</v>
      </c>
      <c r="F157" s="11"/>
      <c r="H157" s="9"/>
      <c r="I157" s="25">
        <v>2</v>
      </c>
      <c r="J157" s="22" t="s">
        <v>167</v>
      </c>
      <c r="K157" s="22" t="s">
        <v>130</v>
      </c>
      <c r="L157" s="25" t="s">
        <v>130</v>
      </c>
      <c r="M157" s="11"/>
    </row>
    <row r="158" spans="1:13" ht="30.75">
      <c r="A158" s="9"/>
      <c r="B158" s="25">
        <v>3</v>
      </c>
      <c r="C158" s="22" t="s">
        <v>137</v>
      </c>
      <c r="D158" s="22" t="s">
        <v>138</v>
      </c>
      <c r="E158" s="25" t="s">
        <v>199</v>
      </c>
      <c r="F158" s="11"/>
      <c r="H158" s="9"/>
      <c r="I158" s="25">
        <v>3</v>
      </c>
      <c r="J158" s="22" t="s">
        <v>153</v>
      </c>
      <c r="K158" s="22" t="s">
        <v>130</v>
      </c>
      <c r="L158" s="25" t="s">
        <v>130</v>
      </c>
      <c r="M158" s="11"/>
    </row>
    <row r="159" spans="1:13" ht="30.75">
      <c r="A159" s="9"/>
      <c r="B159" s="25">
        <v>4</v>
      </c>
      <c r="C159" s="22" t="s">
        <v>163</v>
      </c>
      <c r="D159" s="22" t="s">
        <v>130</v>
      </c>
      <c r="E159" s="25" t="s">
        <v>130</v>
      </c>
      <c r="F159" s="11"/>
      <c r="H159" s="9"/>
      <c r="I159" s="25">
        <v>4</v>
      </c>
      <c r="J159" s="22" t="s">
        <v>188</v>
      </c>
      <c r="K159" s="22" t="s">
        <v>130</v>
      </c>
      <c r="L159" s="25" t="s">
        <v>130</v>
      </c>
      <c r="M159" s="11"/>
    </row>
    <row r="160" spans="1:13" ht="33.75" thickBot="1">
      <c r="A160" s="12"/>
      <c r="B160" s="23"/>
      <c r="C160" s="24"/>
      <c r="D160" s="24"/>
      <c r="E160" s="24"/>
      <c r="F160" s="13"/>
      <c r="H160" s="12"/>
      <c r="I160" s="23"/>
      <c r="J160" s="24"/>
      <c r="K160" s="24"/>
      <c r="L160" s="24"/>
      <c r="M160" s="13"/>
    </row>
    <row r="161" spans="1:13" ht="15.75" thickBot="1"/>
    <row r="162" spans="1:13" ht="35.25">
      <c r="A162" s="6"/>
      <c r="B162" s="17"/>
      <c r="C162" s="7"/>
      <c r="D162" s="21" t="s">
        <v>272</v>
      </c>
      <c r="E162" s="7"/>
      <c r="F162" s="8"/>
      <c r="H162" s="6"/>
      <c r="I162" s="17"/>
      <c r="J162" s="7"/>
      <c r="K162" s="21" t="s">
        <v>272</v>
      </c>
      <c r="L162" s="7"/>
      <c r="M162" s="8"/>
    </row>
    <row r="163" spans="1:13" ht="30.75">
      <c r="A163" s="9"/>
      <c r="B163" s="25">
        <v>1</v>
      </c>
      <c r="C163" s="22" t="s">
        <v>211</v>
      </c>
      <c r="D163" s="22" t="s">
        <v>130</v>
      </c>
      <c r="E163" s="25" t="s">
        <v>130</v>
      </c>
      <c r="F163" s="11"/>
      <c r="H163" s="9"/>
      <c r="I163" s="25">
        <v>1</v>
      </c>
      <c r="J163" s="22" t="s">
        <v>212</v>
      </c>
      <c r="K163" s="22" t="s">
        <v>130</v>
      </c>
      <c r="L163" s="25" t="s">
        <v>130</v>
      </c>
      <c r="M163" s="11"/>
    </row>
    <row r="164" spans="1:13" ht="30.75">
      <c r="A164" s="9"/>
      <c r="B164" s="25">
        <v>2</v>
      </c>
      <c r="C164" s="22" t="s">
        <v>189</v>
      </c>
      <c r="D164" s="22" t="s">
        <v>130</v>
      </c>
      <c r="E164" s="25" t="s">
        <v>130</v>
      </c>
      <c r="F164" s="11"/>
      <c r="H164" s="9"/>
      <c r="I164" s="25">
        <v>2</v>
      </c>
      <c r="J164" s="22" t="s">
        <v>176</v>
      </c>
      <c r="K164" s="22" t="s">
        <v>130</v>
      </c>
      <c r="L164" s="25" t="s">
        <v>130</v>
      </c>
      <c r="M164" s="11"/>
    </row>
    <row r="165" spans="1:13" ht="30.75">
      <c r="A165" s="9"/>
      <c r="B165" s="25">
        <v>3</v>
      </c>
      <c r="C165" s="22" t="s">
        <v>251</v>
      </c>
      <c r="D165" s="22" t="s">
        <v>130</v>
      </c>
      <c r="E165" s="25" t="s">
        <v>130</v>
      </c>
      <c r="F165" s="11"/>
      <c r="H165" s="9"/>
      <c r="I165" s="25">
        <v>3</v>
      </c>
      <c r="J165" s="22" t="s">
        <v>275</v>
      </c>
      <c r="K165" s="22" t="s">
        <v>130</v>
      </c>
      <c r="L165" s="25" t="s">
        <v>130</v>
      </c>
      <c r="M165" s="11"/>
    </row>
    <row r="166" spans="1:13" ht="30.75">
      <c r="A166" s="9"/>
      <c r="B166" s="25">
        <v>4</v>
      </c>
      <c r="C166" s="22" t="s">
        <v>135</v>
      </c>
      <c r="D166" s="22" t="s">
        <v>130</v>
      </c>
      <c r="E166" s="25" t="s">
        <v>130</v>
      </c>
      <c r="F166" s="11"/>
      <c r="H166" s="9"/>
      <c r="I166" s="25">
        <v>4</v>
      </c>
      <c r="J166" s="22" t="s">
        <v>243</v>
      </c>
      <c r="K166" s="22" t="s">
        <v>130</v>
      </c>
      <c r="L166" s="25" t="s">
        <v>130</v>
      </c>
      <c r="M166" s="11"/>
    </row>
    <row r="167" spans="1:13" ht="33.75" thickBot="1">
      <c r="A167" s="12"/>
      <c r="B167" s="23"/>
      <c r="C167" s="24"/>
      <c r="D167" s="24"/>
      <c r="E167" s="24"/>
      <c r="F167" s="13"/>
      <c r="H167" s="12"/>
      <c r="I167" s="23"/>
      <c r="J167" s="24"/>
      <c r="K167" s="24"/>
      <c r="L167" s="24"/>
      <c r="M167" s="13"/>
    </row>
    <row r="168" spans="1:13" ht="15.75" thickBot="1"/>
    <row r="169" spans="1:13" ht="35.25">
      <c r="A169" s="6"/>
      <c r="B169" s="17"/>
      <c r="C169" s="7"/>
      <c r="D169" s="21" t="s">
        <v>272</v>
      </c>
      <c r="E169" s="7"/>
      <c r="F169" s="8"/>
      <c r="H169" s="6"/>
      <c r="I169" s="17"/>
      <c r="J169" s="7"/>
      <c r="K169" s="21" t="s">
        <v>272</v>
      </c>
      <c r="L169" s="7"/>
      <c r="M169" s="8"/>
    </row>
    <row r="170" spans="1:13" ht="30.75">
      <c r="A170" s="9"/>
      <c r="B170" s="25">
        <v>1</v>
      </c>
      <c r="C170" s="22" t="s">
        <v>271</v>
      </c>
      <c r="D170" s="22" t="s">
        <v>130</v>
      </c>
      <c r="E170" s="25" t="s">
        <v>130</v>
      </c>
      <c r="F170" s="11"/>
      <c r="H170" s="9"/>
      <c r="I170" s="25">
        <v>1</v>
      </c>
      <c r="J170" s="22" t="s">
        <v>191</v>
      </c>
      <c r="K170" s="22" t="s">
        <v>252</v>
      </c>
      <c r="L170" s="25" t="s">
        <v>199</v>
      </c>
      <c r="M170" s="11"/>
    </row>
    <row r="171" spans="1:13" ht="30.75">
      <c r="A171" s="9"/>
      <c r="B171" s="25">
        <v>2</v>
      </c>
      <c r="C171" s="22" t="s">
        <v>196</v>
      </c>
      <c r="D171" s="22" t="s">
        <v>255</v>
      </c>
      <c r="E171" s="25" t="s">
        <v>256</v>
      </c>
      <c r="F171" s="11"/>
      <c r="H171" s="9"/>
      <c r="I171" s="25">
        <v>2</v>
      </c>
      <c r="J171" s="22" t="s">
        <v>159</v>
      </c>
      <c r="K171" s="22" t="s">
        <v>160</v>
      </c>
      <c r="L171" s="25" t="s">
        <v>199</v>
      </c>
      <c r="M171" s="11"/>
    </row>
    <row r="172" spans="1:13" ht="30.75">
      <c r="A172" s="9"/>
      <c r="B172" s="25">
        <v>3</v>
      </c>
      <c r="C172" s="22" t="s">
        <v>250</v>
      </c>
      <c r="D172" s="22" t="s">
        <v>130</v>
      </c>
      <c r="E172" s="25" t="s">
        <v>130</v>
      </c>
      <c r="F172" s="11"/>
      <c r="H172" s="9"/>
      <c r="I172" s="25">
        <v>3</v>
      </c>
      <c r="J172" s="22" t="s">
        <v>173</v>
      </c>
      <c r="K172" s="22" t="s">
        <v>174</v>
      </c>
      <c r="L172" s="25" t="s">
        <v>199</v>
      </c>
      <c r="M172" s="11"/>
    </row>
    <row r="173" spans="1:13" ht="30.75">
      <c r="A173" s="9"/>
      <c r="B173" s="25">
        <v>4</v>
      </c>
      <c r="C173" s="22" t="s">
        <v>152</v>
      </c>
      <c r="D173" s="22" t="s">
        <v>130</v>
      </c>
      <c r="E173" s="25" t="s">
        <v>130</v>
      </c>
      <c r="F173" s="11"/>
      <c r="H173" s="9"/>
      <c r="I173" s="25">
        <v>4</v>
      </c>
      <c r="J173" s="22" t="s">
        <v>184</v>
      </c>
      <c r="K173" s="22" t="s">
        <v>130</v>
      </c>
      <c r="L173" s="25" t="s">
        <v>130</v>
      </c>
      <c r="M173" s="11"/>
    </row>
    <row r="174" spans="1:13" ht="33.75" thickBot="1">
      <c r="A174" s="12"/>
      <c r="B174" s="23"/>
      <c r="C174" s="24"/>
      <c r="D174" s="24"/>
      <c r="E174" s="24"/>
      <c r="F174" s="13"/>
      <c r="H174" s="12"/>
      <c r="I174" s="23"/>
      <c r="J174" s="24"/>
      <c r="K174" s="24"/>
      <c r="L174" s="24"/>
      <c r="M174" s="13"/>
    </row>
    <row r="175" spans="1:13" ht="15.75" thickBot="1"/>
    <row r="176" spans="1:13" ht="35.25">
      <c r="A176" s="6"/>
      <c r="B176" s="17"/>
      <c r="C176" s="7"/>
      <c r="D176" s="21" t="s">
        <v>272</v>
      </c>
      <c r="E176" s="7"/>
      <c r="F176" s="8"/>
      <c r="H176" s="6"/>
      <c r="I176" s="17"/>
      <c r="J176" s="7"/>
      <c r="K176" s="21" t="s">
        <v>272</v>
      </c>
      <c r="L176" s="7"/>
      <c r="M176" s="8"/>
    </row>
    <row r="177" spans="1:13" ht="30.75">
      <c r="A177" s="9"/>
      <c r="B177" s="25">
        <v>1</v>
      </c>
      <c r="C177" s="22" t="s">
        <v>169</v>
      </c>
      <c r="D177" s="22" t="s">
        <v>130</v>
      </c>
      <c r="E177" s="25" t="s">
        <v>130</v>
      </c>
      <c r="F177" s="11"/>
      <c r="H177" s="9"/>
      <c r="I177" s="25">
        <v>1</v>
      </c>
      <c r="J177" s="22" t="s">
        <v>146</v>
      </c>
      <c r="K177" s="22" t="s">
        <v>130</v>
      </c>
      <c r="L177" s="25" t="s">
        <v>130</v>
      </c>
      <c r="M177" s="11"/>
    </row>
    <row r="178" spans="1:13" ht="30.75">
      <c r="A178" s="9"/>
      <c r="B178" s="25">
        <v>2</v>
      </c>
      <c r="C178" s="22" t="s">
        <v>215</v>
      </c>
      <c r="D178" s="22" t="s">
        <v>202</v>
      </c>
      <c r="E178" s="25" t="s">
        <v>199</v>
      </c>
      <c r="F178" s="11"/>
      <c r="H178" s="9"/>
      <c r="I178" s="25">
        <v>2</v>
      </c>
      <c r="J178" s="22" t="s">
        <v>219</v>
      </c>
      <c r="K178" s="22" t="s">
        <v>130</v>
      </c>
      <c r="L178" s="25" t="s">
        <v>130</v>
      </c>
      <c r="M178" s="11"/>
    </row>
    <row r="179" spans="1:13" ht="30.75">
      <c r="A179" s="9"/>
      <c r="B179" s="25">
        <v>3</v>
      </c>
      <c r="C179" s="22" t="s">
        <v>137</v>
      </c>
      <c r="D179" s="22" t="s">
        <v>138</v>
      </c>
      <c r="E179" s="25" t="s">
        <v>199</v>
      </c>
      <c r="F179" s="11"/>
      <c r="H179" s="9"/>
      <c r="I179" s="25">
        <v>3</v>
      </c>
      <c r="J179" s="22" t="s">
        <v>194</v>
      </c>
      <c r="K179" s="22" t="s">
        <v>195</v>
      </c>
      <c r="L179" s="25" t="s">
        <v>199</v>
      </c>
      <c r="M179" s="11"/>
    </row>
    <row r="180" spans="1:13" ht="30.75">
      <c r="A180" s="9"/>
      <c r="B180" s="25">
        <v>4</v>
      </c>
      <c r="C180" s="22" t="s">
        <v>175</v>
      </c>
      <c r="D180" s="22" t="s">
        <v>130</v>
      </c>
      <c r="E180" s="25" t="s">
        <v>130</v>
      </c>
      <c r="F180" s="11"/>
      <c r="H180" s="9"/>
      <c r="I180" s="25">
        <v>4</v>
      </c>
      <c r="J180" s="22" t="s">
        <v>163</v>
      </c>
      <c r="K180" s="22" t="s">
        <v>130</v>
      </c>
      <c r="L180" s="25" t="s">
        <v>130</v>
      </c>
      <c r="M180" s="11"/>
    </row>
    <row r="181" spans="1:13" ht="33.75" thickBot="1">
      <c r="A181" s="12"/>
      <c r="B181" s="23"/>
      <c r="C181" s="24"/>
      <c r="D181" s="24"/>
      <c r="E181" s="24"/>
      <c r="F181" s="13"/>
      <c r="H181" s="12"/>
      <c r="I181" s="23"/>
      <c r="J181" s="24"/>
      <c r="K181" s="24"/>
      <c r="L181" s="24"/>
      <c r="M181" s="13"/>
    </row>
    <row r="182" spans="1:13" ht="15.75" thickBot="1"/>
    <row r="183" spans="1:13" ht="35.25">
      <c r="A183" s="6"/>
      <c r="B183" s="17"/>
      <c r="C183" s="7"/>
      <c r="D183" s="21" t="s">
        <v>272</v>
      </c>
      <c r="E183" s="7"/>
      <c r="F183" s="8"/>
      <c r="H183" s="6"/>
      <c r="I183" s="17"/>
      <c r="J183" s="7"/>
      <c r="K183" s="21" t="s">
        <v>272</v>
      </c>
      <c r="L183" s="7"/>
      <c r="M183" s="8"/>
    </row>
    <row r="184" spans="1:13" ht="30.75">
      <c r="A184" s="9"/>
      <c r="B184" s="25">
        <v>1</v>
      </c>
      <c r="C184" s="22" t="s">
        <v>169</v>
      </c>
      <c r="D184" s="22" t="s">
        <v>130</v>
      </c>
      <c r="E184" s="25" t="s">
        <v>130</v>
      </c>
      <c r="F184" s="11"/>
      <c r="H184" s="9"/>
      <c r="I184" s="25">
        <v>1</v>
      </c>
      <c r="J184" s="22" t="s">
        <v>157</v>
      </c>
      <c r="K184" s="22" t="s">
        <v>130</v>
      </c>
      <c r="L184" s="25" t="s">
        <v>130</v>
      </c>
      <c r="M184" s="11"/>
    </row>
    <row r="185" spans="1:13" ht="30.75">
      <c r="A185" s="9"/>
      <c r="B185" s="25">
        <v>2</v>
      </c>
      <c r="C185" s="22" t="s">
        <v>136</v>
      </c>
      <c r="D185" s="22" t="s">
        <v>130</v>
      </c>
      <c r="E185" s="25" t="s">
        <v>130</v>
      </c>
      <c r="F185" s="11"/>
      <c r="H185" s="9"/>
      <c r="I185" s="25">
        <v>2</v>
      </c>
      <c r="J185" s="22" t="s">
        <v>186</v>
      </c>
      <c r="K185" s="22" t="s">
        <v>130</v>
      </c>
      <c r="L185" s="25" t="s">
        <v>130</v>
      </c>
      <c r="M185" s="11"/>
    </row>
    <row r="186" spans="1:13" ht="30.75">
      <c r="A186" s="9"/>
      <c r="B186" s="25">
        <v>3</v>
      </c>
      <c r="C186" s="22" t="s">
        <v>133</v>
      </c>
      <c r="D186" s="22" t="s">
        <v>134</v>
      </c>
      <c r="E186" s="25" t="s">
        <v>199</v>
      </c>
      <c r="F186" s="11"/>
      <c r="H186" s="9"/>
      <c r="I186" s="25">
        <v>3</v>
      </c>
      <c r="J186" s="22" t="s">
        <v>154</v>
      </c>
      <c r="K186" s="22" t="s">
        <v>130</v>
      </c>
      <c r="L186" s="25" t="s">
        <v>130</v>
      </c>
      <c r="M186" s="11"/>
    </row>
    <row r="187" spans="1:13" ht="30.75">
      <c r="A187" s="9"/>
      <c r="B187" s="25">
        <v>4</v>
      </c>
      <c r="C187" s="22" t="s">
        <v>184</v>
      </c>
      <c r="D187" s="22" t="s">
        <v>130</v>
      </c>
      <c r="E187" s="25" t="s">
        <v>130</v>
      </c>
      <c r="F187" s="11"/>
      <c r="H187" s="9"/>
      <c r="I187" s="25">
        <v>4</v>
      </c>
      <c r="J187" s="22" t="s">
        <v>155</v>
      </c>
      <c r="K187" s="22" t="s">
        <v>156</v>
      </c>
      <c r="L187" s="25" t="s">
        <v>199</v>
      </c>
      <c r="M187" s="11"/>
    </row>
    <row r="188" spans="1:13" ht="33.75" thickBot="1">
      <c r="A188" s="12"/>
      <c r="B188" s="23"/>
      <c r="C188" s="24"/>
      <c r="D188" s="24"/>
      <c r="E188" s="24"/>
      <c r="F188" s="13"/>
      <c r="H188" s="12"/>
      <c r="I188" s="23"/>
      <c r="J188" s="24"/>
      <c r="K188" s="24"/>
      <c r="L188" s="24"/>
      <c r="M188" s="13"/>
    </row>
    <row r="189" spans="1:13" ht="15.75" thickBot="1"/>
    <row r="190" spans="1:13" ht="35.25">
      <c r="A190" s="6"/>
      <c r="B190" s="17"/>
      <c r="C190" s="7"/>
      <c r="D190" s="21" t="s">
        <v>272</v>
      </c>
      <c r="E190" s="7"/>
      <c r="F190" s="8"/>
      <c r="H190" s="6"/>
      <c r="I190" s="17"/>
      <c r="J190" s="7"/>
      <c r="K190" s="21" t="s">
        <v>272</v>
      </c>
      <c r="L190" s="7"/>
      <c r="M190" s="8"/>
    </row>
    <row r="191" spans="1:13" ht="30.75">
      <c r="A191" s="9"/>
      <c r="B191" s="25">
        <v>1</v>
      </c>
      <c r="C191" s="22" t="s">
        <v>268</v>
      </c>
      <c r="D191" s="22" t="s">
        <v>130</v>
      </c>
      <c r="E191" s="25" t="s">
        <v>130</v>
      </c>
      <c r="F191" s="11"/>
      <c r="H191" s="9"/>
      <c r="I191" s="25">
        <v>1</v>
      </c>
      <c r="J191" s="22" t="s">
        <v>257</v>
      </c>
      <c r="K191" s="22" t="s">
        <v>130</v>
      </c>
      <c r="L191" s="25" t="s">
        <v>130</v>
      </c>
      <c r="M191" s="11"/>
    </row>
    <row r="192" spans="1:13" ht="30.75">
      <c r="A192" s="9"/>
      <c r="B192" s="25">
        <v>2</v>
      </c>
      <c r="C192" s="22" t="s">
        <v>150</v>
      </c>
      <c r="D192" s="22" t="s">
        <v>151</v>
      </c>
      <c r="E192" s="25" t="s">
        <v>199</v>
      </c>
      <c r="F192" s="11"/>
      <c r="H192" s="9"/>
      <c r="I192" s="25">
        <v>2</v>
      </c>
      <c r="J192" s="22" t="s">
        <v>179</v>
      </c>
      <c r="K192" s="22" t="s">
        <v>130</v>
      </c>
      <c r="L192" s="25" t="s">
        <v>130</v>
      </c>
      <c r="M192" s="11"/>
    </row>
    <row r="193" spans="1:13" ht="30.75">
      <c r="A193" s="9"/>
      <c r="B193" s="25">
        <v>3</v>
      </c>
      <c r="C193" s="22" t="s">
        <v>165</v>
      </c>
      <c r="D193" s="22" t="s">
        <v>130</v>
      </c>
      <c r="E193" s="25" t="s">
        <v>130</v>
      </c>
      <c r="F193" s="11"/>
      <c r="H193" s="9"/>
      <c r="I193" s="25">
        <v>3</v>
      </c>
      <c r="J193" s="22" t="s">
        <v>240</v>
      </c>
      <c r="K193" s="22" t="s">
        <v>130</v>
      </c>
      <c r="L193" s="25" t="s">
        <v>130</v>
      </c>
      <c r="M193" s="11"/>
    </row>
    <row r="194" spans="1:13" ht="30.75">
      <c r="A194" s="9"/>
      <c r="B194" s="25">
        <v>4</v>
      </c>
      <c r="C194" s="22" t="s">
        <v>188</v>
      </c>
      <c r="D194" s="22" t="s">
        <v>130</v>
      </c>
      <c r="E194" s="25" t="s">
        <v>130</v>
      </c>
      <c r="F194" s="11"/>
      <c r="H194" s="9"/>
      <c r="I194" s="25">
        <v>4</v>
      </c>
      <c r="J194" s="22" t="s">
        <v>135</v>
      </c>
      <c r="K194" s="22" t="s">
        <v>130</v>
      </c>
      <c r="L194" s="25" t="s">
        <v>130</v>
      </c>
      <c r="M194" s="11"/>
    </row>
    <row r="195" spans="1:13" ht="33.75" thickBot="1">
      <c r="A195" s="12"/>
      <c r="B195" s="23"/>
      <c r="C195" s="24"/>
      <c r="D195" s="24"/>
      <c r="E195" s="24"/>
      <c r="F195" s="13"/>
      <c r="H195" s="12"/>
      <c r="I195" s="23"/>
      <c r="J195" s="24"/>
      <c r="K195" s="24"/>
      <c r="L195" s="24"/>
      <c r="M195" s="13"/>
    </row>
    <row r="196" spans="1:13" ht="15.75" thickBot="1"/>
    <row r="197" spans="1:13" ht="35.25">
      <c r="A197" s="6"/>
      <c r="B197" s="17"/>
      <c r="C197" s="7"/>
      <c r="D197" s="21" t="s">
        <v>272</v>
      </c>
      <c r="E197" s="7"/>
      <c r="F197" s="8"/>
      <c r="H197" s="6"/>
      <c r="I197" s="17"/>
      <c r="J197" s="7"/>
      <c r="K197" s="21" t="s">
        <v>272</v>
      </c>
      <c r="L197" s="7"/>
      <c r="M197" s="8"/>
    </row>
    <row r="198" spans="1:13" ht="30.75">
      <c r="A198" s="9"/>
      <c r="B198" s="25">
        <v>1</v>
      </c>
      <c r="C198" s="22" t="s">
        <v>271</v>
      </c>
      <c r="D198" s="22" t="s">
        <v>130</v>
      </c>
      <c r="E198" s="25" t="s">
        <v>130</v>
      </c>
      <c r="F198" s="11"/>
      <c r="H198" s="9"/>
      <c r="I198" s="25">
        <v>1</v>
      </c>
      <c r="J198" s="22" t="s">
        <v>182</v>
      </c>
      <c r="K198" s="22" t="s">
        <v>183</v>
      </c>
      <c r="L198" s="25" t="s">
        <v>199</v>
      </c>
      <c r="M198" s="11"/>
    </row>
    <row r="199" spans="1:13" ht="30.75">
      <c r="A199" s="9"/>
      <c r="B199" s="25">
        <v>2</v>
      </c>
      <c r="C199" s="22" t="s">
        <v>218</v>
      </c>
      <c r="D199" s="22" t="s">
        <v>117</v>
      </c>
      <c r="E199" s="25" t="s">
        <v>199</v>
      </c>
      <c r="F199" s="11"/>
      <c r="H199" s="9"/>
      <c r="I199" s="25">
        <v>2</v>
      </c>
      <c r="J199" s="22" t="s">
        <v>148</v>
      </c>
      <c r="K199" s="22" t="s">
        <v>130</v>
      </c>
      <c r="L199" s="25" t="s">
        <v>130</v>
      </c>
      <c r="M199" s="11"/>
    </row>
    <row r="200" spans="1:13" ht="30.75">
      <c r="A200" s="9"/>
      <c r="B200" s="25">
        <v>3</v>
      </c>
      <c r="C200" s="22" t="s">
        <v>173</v>
      </c>
      <c r="D200" s="22" t="s">
        <v>174</v>
      </c>
      <c r="E200" s="25" t="s">
        <v>199</v>
      </c>
      <c r="F200" s="11"/>
      <c r="H200" s="9"/>
      <c r="I200" s="25">
        <v>3</v>
      </c>
      <c r="J200" s="22" t="s">
        <v>240</v>
      </c>
      <c r="K200" s="22" t="s">
        <v>130</v>
      </c>
      <c r="L200" s="25" t="s">
        <v>130</v>
      </c>
      <c r="M200" s="11"/>
    </row>
    <row r="201" spans="1:13" ht="30.75">
      <c r="A201" s="9"/>
      <c r="B201" s="25">
        <v>4</v>
      </c>
      <c r="C201" s="22" t="s">
        <v>163</v>
      </c>
      <c r="D201" s="22" t="s">
        <v>130</v>
      </c>
      <c r="E201" s="25" t="s">
        <v>130</v>
      </c>
      <c r="F201" s="11"/>
      <c r="H201" s="9"/>
      <c r="I201" s="25">
        <v>4</v>
      </c>
      <c r="J201" s="22" t="s">
        <v>163</v>
      </c>
      <c r="K201" s="22" t="s">
        <v>130</v>
      </c>
      <c r="L201" s="25" t="s">
        <v>130</v>
      </c>
      <c r="M201" s="11"/>
    </row>
    <row r="202" spans="1:13" ht="33.75" thickBot="1">
      <c r="A202" s="12"/>
      <c r="B202" s="23"/>
      <c r="C202" s="24"/>
      <c r="D202" s="24"/>
      <c r="E202" s="24"/>
      <c r="F202" s="13"/>
      <c r="H202" s="12"/>
      <c r="I202" s="23"/>
      <c r="J202" s="24"/>
      <c r="K202" s="24"/>
      <c r="L202" s="24"/>
      <c r="M202" s="13"/>
    </row>
    <row r="203" spans="1:13" ht="15.75" thickBot="1"/>
    <row r="204" spans="1:13" ht="35.25">
      <c r="A204" s="6"/>
      <c r="B204" s="17"/>
      <c r="C204" s="7"/>
      <c r="D204" s="21" t="s">
        <v>272</v>
      </c>
      <c r="E204" s="7"/>
      <c r="F204" s="8"/>
      <c r="H204" s="6"/>
      <c r="I204" s="17"/>
      <c r="J204" s="7"/>
      <c r="K204" s="21" t="s">
        <v>272</v>
      </c>
      <c r="L204" s="7"/>
      <c r="M204" s="8"/>
    </row>
    <row r="205" spans="1:13" ht="30.75">
      <c r="A205" s="9"/>
      <c r="B205" s="25">
        <v>1</v>
      </c>
      <c r="C205" s="22" t="s">
        <v>268</v>
      </c>
      <c r="D205" s="22" t="s">
        <v>130</v>
      </c>
      <c r="E205" s="25" t="s">
        <v>130</v>
      </c>
      <c r="F205" s="11"/>
      <c r="H205" s="9"/>
      <c r="I205" s="25">
        <v>1</v>
      </c>
      <c r="J205" s="22" t="s">
        <v>185</v>
      </c>
      <c r="K205" s="22" t="s">
        <v>130</v>
      </c>
      <c r="L205" s="25" t="s">
        <v>130</v>
      </c>
      <c r="M205" s="11"/>
    </row>
    <row r="206" spans="1:13" ht="30.75">
      <c r="A206" s="9"/>
      <c r="B206" s="25">
        <v>2</v>
      </c>
      <c r="C206" s="22" t="s">
        <v>148</v>
      </c>
      <c r="D206" s="22" t="s">
        <v>130</v>
      </c>
      <c r="E206" s="25" t="s">
        <v>130</v>
      </c>
      <c r="F206" s="11"/>
      <c r="H206" s="9"/>
      <c r="I206" s="25">
        <v>2</v>
      </c>
      <c r="J206" s="22" t="s">
        <v>259</v>
      </c>
      <c r="K206" s="22" t="s">
        <v>130</v>
      </c>
      <c r="L206" s="25" t="s">
        <v>130</v>
      </c>
      <c r="M206" s="11"/>
    </row>
    <row r="207" spans="1:13" ht="30.75">
      <c r="A207" s="9"/>
      <c r="B207" s="25">
        <v>3</v>
      </c>
      <c r="C207" s="22" t="s">
        <v>173</v>
      </c>
      <c r="D207" s="22" t="s">
        <v>174</v>
      </c>
      <c r="E207" s="25" t="s">
        <v>199</v>
      </c>
      <c r="F207" s="11"/>
      <c r="H207" s="9"/>
      <c r="I207" s="25">
        <v>3</v>
      </c>
      <c r="J207" s="22" t="s">
        <v>253</v>
      </c>
      <c r="K207" s="22" t="s">
        <v>130</v>
      </c>
      <c r="L207" s="25" t="s">
        <v>130</v>
      </c>
      <c r="M207" s="11"/>
    </row>
    <row r="208" spans="1:13" ht="30.75">
      <c r="A208" s="9"/>
      <c r="B208" s="25">
        <v>4</v>
      </c>
      <c r="C208" s="22" t="s">
        <v>155</v>
      </c>
      <c r="D208" s="22" t="s">
        <v>156</v>
      </c>
      <c r="E208" s="25" t="s">
        <v>199</v>
      </c>
      <c r="F208" s="11"/>
      <c r="H208" s="9"/>
      <c r="I208" s="25">
        <v>4</v>
      </c>
      <c r="J208" s="22" t="s">
        <v>155</v>
      </c>
      <c r="K208" s="22" t="s">
        <v>156</v>
      </c>
      <c r="L208" s="25" t="s">
        <v>199</v>
      </c>
      <c r="M208" s="11"/>
    </row>
    <row r="209" spans="1:13" ht="33.75" thickBot="1">
      <c r="A209" s="12"/>
      <c r="B209" s="23"/>
      <c r="C209" s="24"/>
      <c r="D209" s="24"/>
      <c r="E209" s="24"/>
      <c r="F209" s="13"/>
      <c r="H209" s="12"/>
      <c r="I209" s="23"/>
      <c r="J209" s="24"/>
      <c r="K209" s="24"/>
      <c r="L209" s="24"/>
      <c r="M209" s="13"/>
    </row>
  </sheetData>
  <pageMargins left="0.25" right="0.25" top="0.75" bottom="0.75" header="0.3" footer="0.3"/>
  <pageSetup paperSize="9" scale="47" fitToHeight="4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C5CC8-FA79-4CA8-BD24-6A88F4AA9E02}">
  <sheetPr>
    <pageSetUpPr fitToPage="1"/>
  </sheetPr>
  <dimension ref="A1:W36"/>
  <sheetViews>
    <sheetView showGridLines="0" tabSelected="1" topLeftCell="F1" zoomScale="70" zoomScaleNormal="70" workbookViewId="0">
      <selection activeCell="H17" sqref="H17"/>
    </sheetView>
  </sheetViews>
  <sheetFormatPr defaultRowHeight="36"/>
  <cols>
    <col min="1" max="5" width="9.140625" style="26" hidden="1" customWidth="1"/>
    <col min="6" max="6" width="2.140625" style="43" customWidth="1"/>
    <col min="7" max="7" width="4.42578125" style="41" customWidth="1"/>
    <col min="8" max="8" width="28.7109375" style="75" customWidth="1"/>
    <col min="9" max="9" width="32.85546875" style="41" customWidth="1"/>
    <col min="10" max="10" width="5.85546875" style="43" customWidth="1"/>
    <col min="11" max="11" width="2.140625" style="43" customWidth="1"/>
    <col min="12" max="12" width="5.140625" style="43" hidden="1" customWidth="1"/>
    <col min="13" max="17" width="9.140625" style="43" hidden="1" customWidth="1"/>
    <col min="18" max="18" width="2.140625" style="43" customWidth="1"/>
    <col min="19" max="19" width="4.42578125" style="41" customWidth="1"/>
    <col min="20" max="20" width="28.7109375" style="75" customWidth="1"/>
    <col min="21" max="21" width="32.85546875" style="41" customWidth="1"/>
    <col min="22" max="22" width="5.85546875" style="43" customWidth="1"/>
    <col min="23" max="23" width="2.140625" style="43" customWidth="1"/>
    <col min="24" max="16384" width="9.140625" style="26"/>
  </cols>
  <sheetData>
    <row r="1" spans="1:23">
      <c r="A1" s="36" t="s">
        <v>224</v>
      </c>
      <c r="B1" s="37" t="s">
        <v>225</v>
      </c>
      <c r="C1" s="37" t="s">
        <v>226</v>
      </c>
      <c r="D1" s="38" t="s">
        <v>227</v>
      </c>
      <c r="F1" s="51"/>
      <c r="G1" s="39"/>
      <c r="H1" s="72"/>
      <c r="I1" s="40" t="s">
        <v>272</v>
      </c>
      <c r="J1" s="7"/>
      <c r="K1" s="52"/>
      <c r="M1" s="53" t="s">
        <v>224</v>
      </c>
      <c r="N1" s="54" t="s">
        <v>225</v>
      </c>
      <c r="O1" s="54" t="s">
        <v>226</v>
      </c>
      <c r="P1" s="55" t="s">
        <v>227</v>
      </c>
      <c r="R1" s="51"/>
      <c r="S1" s="39"/>
      <c r="T1" s="72"/>
      <c r="U1" s="40" t="str">
        <f>+I1</f>
        <v>Extra points:</v>
      </c>
      <c r="V1" s="7"/>
      <c r="W1" s="52"/>
    </row>
    <row r="2" spans="1:23">
      <c r="A2" s="46">
        <f ca="1">+INT(RANDBETWEEN(1,COUNTA(Words!$I:$I)))</f>
        <v>44</v>
      </c>
      <c r="B2" s="47" t="str" cm="1">
        <f t="array" aca="1" ref="B2" ca="1">INDEX(Words!$I:$I,A2)</f>
        <v>teddy bear</v>
      </c>
      <c r="C2" s="48" t="str">
        <f ca="1">VLOOKUP(B2,Words!$A:$F,4,0)&amp;""</f>
        <v/>
      </c>
      <c r="D2" s="49" t="str">
        <f ca="1">VLOOKUP(B2,Words!$A:$F,3,0)&amp;""</f>
        <v/>
      </c>
      <c r="E2" s="27"/>
      <c r="F2" s="56"/>
      <c r="G2" s="50">
        <f ca="1">VLOOKUP(B2,Words!$A:$F,2,0)</f>
        <v>1</v>
      </c>
      <c r="H2" s="73" t="str">
        <f ca="1">+UPPER(LEFT(B2,1))&amp;LOWER(RIGHT(B2,LEN(B2)-1))</f>
        <v>Teddy bear</v>
      </c>
      <c r="I2" s="22" t="str">
        <f ca="1">IFERROR(UPPER(LEFT(D2,1))&amp;LOWER(RIGHT(D2,LEN(D2)-1)),"")</f>
        <v/>
      </c>
      <c r="J2" s="44" t="str">
        <f ca="1">IF(AND(C2&lt;&gt;"",I2&lt;&gt;""),"+"&amp;C2,IF(TRIM(I2)&lt;&gt;""," +1",""))</f>
        <v/>
      </c>
      <c r="K2" s="57"/>
      <c r="M2" s="58">
        <f ca="1">+INT(RANDBETWEEN(1,COUNTA(Words!$I:$I)))</f>
        <v>9</v>
      </c>
      <c r="N2" s="59" t="str" cm="1">
        <f t="array" aca="1" ref="N2" ca="1">INDEX(Words!$I:$I,M2)</f>
        <v>bus</v>
      </c>
      <c r="O2" s="60" t="str">
        <f ca="1">VLOOKUP(N2,Words!$A:$F,4,0)&amp;""</f>
        <v/>
      </c>
      <c r="P2" s="61" t="str">
        <f ca="1">VLOOKUP(N2,Words!$A:$F,3,0)&amp;""</f>
        <v>bus stop</v>
      </c>
      <c r="Q2" s="62"/>
      <c r="R2" s="56"/>
      <c r="S2" s="50">
        <f ca="1">VLOOKUP(N2,Words!$A:$F,2,0)</f>
        <v>1</v>
      </c>
      <c r="T2" s="73" t="str">
        <f ca="1">+UPPER(LEFT(N2,1))&amp;LOWER(RIGHT(N2,LEN(N2)-1))</f>
        <v>Bus</v>
      </c>
      <c r="U2" s="22" t="str">
        <f ca="1">IFERROR(UPPER(LEFT(P2,1))&amp;LOWER(RIGHT(P2,LEN(P2)-1)),"")</f>
        <v>Bus stop</v>
      </c>
      <c r="V2" s="44" t="str">
        <f ca="1">IF(AND(O2&lt;&gt;"",U2&lt;&gt;""),"+"&amp;O2,IF(TRIM(U2)&lt;&gt;""," +1",""))</f>
        <v xml:space="preserve"> +1</v>
      </c>
      <c r="W2" s="57"/>
    </row>
    <row r="3" spans="1:23">
      <c r="A3" s="29">
        <f ca="1">+INT(RANDBETWEEN(1,COUNTA(Words!$K:$K)))</f>
        <v>31</v>
      </c>
      <c r="B3" s="30" t="str" cm="1">
        <f t="array" aca="1" ref="B3" ca="1">INDEX(Words!$K:$K,A3)</f>
        <v>scooter</v>
      </c>
      <c r="C3" s="28" t="str">
        <f ca="1">VLOOKUP(B3,Words!$A:$F,4,0)&amp;""</f>
        <v/>
      </c>
      <c r="D3" s="31" t="str">
        <f ca="1">VLOOKUP(B3,Words!$A:$F,3,0)&amp;""</f>
        <v>… with ribbons</v>
      </c>
      <c r="E3" s="27"/>
      <c r="F3" s="56"/>
      <c r="G3" s="50">
        <f ca="1">VLOOKUP(B3,Words!$A:$F,2,0)</f>
        <v>2</v>
      </c>
      <c r="H3" s="73" t="str">
        <f t="shared" ref="H3:H5" ca="1" si="0">+UPPER(LEFT(B3,1))&amp;LOWER(RIGHT(B3,LEN(B3)-1))</f>
        <v>Scooter</v>
      </c>
      <c r="I3" s="22" t="str">
        <f t="shared" ref="I3:I5" ca="1" si="1">IFERROR(UPPER(LEFT(D3,1))&amp;LOWER(RIGHT(D3,LEN(D3)-1)),"")</f>
        <v>… with ribbons</v>
      </c>
      <c r="J3" s="44" t="str">
        <f t="shared" ref="J3:J5" ca="1" si="2">IF(AND(C3&lt;&gt;"",I3&lt;&gt;""),"+"&amp;C3,IF(TRIM(I3)&lt;&gt;""," +1",""))</f>
        <v xml:space="preserve"> +1</v>
      </c>
      <c r="K3" s="57"/>
      <c r="M3" s="63">
        <f ca="1">+INT(RANDBETWEEN(1,COUNTA(Words!$K:$K)))</f>
        <v>31</v>
      </c>
      <c r="N3" s="64" t="str" cm="1">
        <f t="array" aca="1" ref="N3" ca="1">INDEX(Words!$K:$K,M3)</f>
        <v>scooter</v>
      </c>
      <c r="O3" s="45" t="str">
        <f ca="1">VLOOKUP(N3,Words!$A:$F,4,0)&amp;""</f>
        <v/>
      </c>
      <c r="P3" s="65" t="str">
        <f ca="1">VLOOKUP(N3,Words!$A:$F,3,0)&amp;""</f>
        <v>… with ribbons</v>
      </c>
      <c r="Q3" s="62"/>
      <c r="R3" s="56"/>
      <c r="S3" s="50">
        <f ca="1">VLOOKUP(N3,Words!$A:$F,2,0)</f>
        <v>2</v>
      </c>
      <c r="T3" s="73" t="str">
        <f t="shared" ref="T3:T5" ca="1" si="3">+UPPER(LEFT(N3,1))&amp;LOWER(RIGHT(N3,LEN(N3)-1))</f>
        <v>Scooter</v>
      </c>
      <c r="U3" s="22" t="str">
        <f t="shared" ref="U3:U5" ca="1" si="4">IFERROR(UPPER(LEFT(P3,1))&amp;LOWER(RIGHT(P3,LEN(P3)-1)),"")</f>
        <v>… with ribbons</v>
      </c>
      <c r="V3" s="44" t="str">
        <f t="shared" ref="V3:V5" ca="1" si="5">IF(AND(O3&lt;&gt;"",U3&lt;&gt;""),"+"&amp;O3,IF(TRIM(U3)&lt;&gt;""," +1",""))</f>
        <v xml:space="preserve"> +1</v>
      </c>
      <c r="W3" s="57"/>
    </row>
    <row r="4" spans="1:23">
      <c r="A4" s="29">
        <f ca="1">+INT(RANDBETWEEN(1,COUNTA(Words!$M:$M)))</f>
        <v>3</v>
      </c>
      <c r="B4" s="30" t="str" cm="1">
        <f t="array" aca="1" ref="B4" ca="1">INDEX(Words!$M:$M,A4)</f>
        <v>bridge</v>
      </c>
      <c r="C4" s="28" t="str">
        <f ca="1">VLOOKUP(B4,Words!$A:$F,4,0)&amp;""</f>
        <v/>
      </c>
      <c r="D4" s="31" t="str">
        <f ca="1">VLOOKUP(B4,Words!$A:$F,3,0)&amp;""</f>
        <v>bridge troll</v>
      </c>
      <c r="E4" s="27"/>
      <c r="F4" s="56"/>
      <c r="G4" s="50">
        <f ca="1">VLOOKUP(B4,Words!$A:$F,2,0)</f>
        <v>3</v>
      </c>
      <c r="H4" s="73" t="str">
        <f t="shared" ca="1" si="0"/>
        <v>Bridge</v>
      </c>
      <c r="I4" s="22" t="str">
        <f t="shared" ca="1" si="1"/>
        <v>Bridge troll</v>
      </c>
      <c r="J4" s="44" t="str">
        <f t="shared" ca="1" si="2"/>
        <v xml:space="preserve"> +1</v>
      </c>
      <c r="K4" s="57"/>
      <c r="M4" s="63">
        <f ca="1">+INT(RANDBETWEEN(1,COUNTA(Words!$M:$M)))</f>
        <v>4</v>
      </c>
      <c r="N4" s="64" t="str" cm="1">
        <f t="array" aca="1" ref="N4" ca="1">INDEX(Words!$M:$M,M4)</f>
        <v>caterpillar</v>
      </c>
      <c r="O4" s="45" t="str">
        <f ca="1">VLOOKUP(N4,Words!$A:$F,4,0)&amp;""</f>
        <v/>
      </c>
      <c r="P4" s="65" t="str">
        <f ca="1">VLOOKUP(N4,Words!$A:$F,3,0)&amp;""</f>
        <v/>
      </c>
      <c r="Q4" s="62"/>
      <c r="R4" s="56"/>
      <c r="S4" s="50">
        <f ca="1">VLOOKUP(N4,Words!$A:$F,2,0)</f>
        <v>3</v>
      </c>
      <c r="T4" s="73" t="str">
        <f t="shared" ca="1" si="3"/>
        <v>Caterpillar</v>
      </c>
      <c r="U4" s="22" t="str">
        <f t="shared" ca="1" si="4"/>
        <v/>
      </c>
      <c r="V4" s="44" t="str">
        <f t="shared" ca="1" si="5"/>
        <v/>
      </c>
      <c r="W4" s="57"/>
    </row>
    <row r="5" spans="1:23">
      <c r="A5" s="32">
        <f ca="1">+INT(RANDBETWEEN(1,COUNTA(Words!$O:$O)))</f>
        <v>5</v>
      </c>
      <c r="B5" s="33" t="str" cm="1">
        <f t="array" aca="1" ref="B5" ca="1">INDEX(Words!$O:$O,A5)</f>
        <v>bouncy ball</v>
      </c>
      <c r="C5" s="34" t="str">
        <f ca="1">VLOOKUP(B5,Words!$A:$F,4,0)&amp;""</f>
        <v/>
      </c>
      <c r="D5" s="35" t="str">
        <f ca="1">VLOOKUP(B5,Words!$A:$F,3,0)&amp;""</f>
        <v/>
      </c>
      <c r="E5" s="27"/>
      <c r="F5" s="56"/>
      <c r="G5" s="50">
        <f ca="1">VLOOKUP(B5,Words!$A:$F,2,0)</f>
        <v>4</v>
      </c>
      <c r="H5" s="73" t="str">
        <f t="shared" ca="1" si="0"/>
        <v>Bouncy ball</v>
      </c>
      <c r="I5" s="22" t="str">
        <f t="shared" ca="1" si="1"/>
        <v/>
      </c>
      <c r="J5" s="44" t="str">
        <f t="shared" ca="1" si="2"/>
        <v/>
      </c>
      <c r="K5" s="57"/>
      <c r="M5" s="66">
        <f ca="1">+INT(RANDBETWEEN(1,COUNTA(Words!$O:$O)))</f>
        <v>17</v>
      </c>
      <c r="N5" s="67" t="str" cm="1">
        <f t="array" aca="1" ref="N5" ca="1">INDEX(Words!$O:$O,M5)</f>
        <v>playground</v>
      </c>
      <c r="O5" s="68" t="str">
        <f ca="1">VLOOKUP(N5,Words!$A:$F,4,0)&amp;""</f>
        <v/>
      </c>
      <c r="P5" s="69" t="str">
        <f ca="1">VLOOKUP(N5,Words!$A:$F,3,0)&amp;""</f>
        <v/>
      </c>
      <c r="Q5" s="62"/>
      <c r="R5" s="56"/>
      <c r="S5" s="50">
        <f ca="1">VLOOKUP(N5,Words!$A:$F,2,0)</f>
        <v>4</v>
      </c>
      <c r="T5" s="73" t="str">
        <f t="shared" ca="1" si="3"/>
        <v>Playground</v>
      </c>
      <c r="U5" s="22" t="str">
        <f t="shared" ca="1" si="4"/>
        <v/>
      </c>
      <c r="V5" s="44" t="str">
        <f t="shared" ca="1" si="5"/>
        <v/>
      </c>
      <c r="W5" s="57"/>
    </row>
    <row r="6" spans="1:23" ht="15.75" customHeight="1" thickBot="1">
      <c r="F6" s="70"/>
      <c r="G6" s="23"/>
      <c r="H6" s="74"/>
      <c r="I6" s="24"/>
      <c r="J6" s="42"/>
      <c r="K6" s="71"/>
      <c r="R6" s="70"/>
      <c r="S6" s="23"/>
      <c r="T6" s="74"/>
      <c r="U6" s="24"/>
      <c r="V6" s="42"/>
      <c r="W6" s="71"/>
    </row>
    <row r="7" spans="1:23">
      <c r="A7" s="36" t="s">
        <v>224</v>
      </c>
      <c r="B7" s="37" t="s">
        <v>225</v>
      </c>
      <c r="C7" s="37" t="s">
        <v>226</v>
      </c>
      <c r="D7" s="38" t="s">
        <v>227</v>
      </c>
      <c r="F7" s="51"/>
      <c r="G7" s="39"/>
      <c r="H7" s="72"/>
      <c r="I7" s="40" t="str">
        <f>+I1</f>
        <v>Extra points:</v>
      </c>
      <c r="J7" s="7"/>
      <c r="K7" s="52"/>
      <c r="M7" s="53" t="s">
        <v>224</v>
      </c>
      <c r="N7" s="54" t="s">
        <v>225</v>
      </c>
      <c r="O7" s="54" t="s">
        <v>226</v>
      </c>
      <c r="P7" s="55" t="s">
        <v>227</v>
      </c>
      <c r="R7" s="51"/>
      <c r="S7" s="39"/>
      <c r="T7" s="72"/>
      <c r="U7" s="40" t="str">
        <f>+U1</f>
        <v>Extra points:</v>
      </c>
      <c r="V7" s="7"/>
      <c r="W7" s="52"/>
    </row>
    <row r="8" spans="1:23">
      <c r="A8" s="46">
        <f ca="1">+INT(RANDBETWEEN(1,COUNTA(Words!$I:$I)))</f>
        <v>26</v>
      </c>
      <c r="B8" s="47" t="str" cm="1">
        <f t="array" aca="1" ref="B8" ca="1">INDEX(Words!$I:$I,A8)</f>
        <v>heart</v>
      </c>
      <c r="C8" s="48" t="str">
        <f ca="1">VLOOKUP(B8,Words!$A:$F,4,0)&amp;""</f>
        <v/>
      </c>
      <c r="D8" s="49" t="str">
        <f ca="1">VLOOKUP(B8,Words!$A:$F,3,0)&amp;""</f>
        <v/>
      </c>
      <c r="E8" s="27"/>
      <c r="F8" s="56"/>
      <c r="G8" s="50">
        <f ca="1">VLOOKUP(B8,Words!$A:$F,2,0)</f>
        <v>1</v>
      </c>
      <c r="H8" s="73" t="str">
        <f ca="1">+UPPER(LEFT(B8,1))&amp;LOWER(RIGHT(B8,LEN(B8)-1))</f>
        <v>Heart</v>
      </c>
      <c r="I8" s="22" t="str">
        <f ca="1">IFERROR(UPPER(LEFT(D8,1))&amp;LOWER(RIGHT(D8,LEN(D8)-1)),"")</f>
        <v/>
      </c>
      <c r="J8" s="44" t="str">
        <f ca="1">IF(AND(C8&lt;&gt;"",I8&lt;&gt;""),"+"&amp;C8,IF(TRIM(I8)&lt;&gt;""," +1",""))</f>
        <v/>
      </c>
      <c r="K8" s="57"/>
      <c r="M8" s="58">
        <f ca="1">+INT(RANDBETWEEN(1,COUNTA(Words!$I:$I)))</f>
        <v>38</v>
      </c>
      <c r="N8" s="59" t="str" cm="1">
        <f t="array" aca="1" ref="N8" ca="1">INDEX(Words!$I:$I,M8)</f>
        <v>sheep</v>
      </c>
      <c r="O8" s="60" t="str">
        <f ca="1">VLOOKUP(N8,Words!$A:$F,4,0)&amp;""</f>
        <v/>
      </c>
      <c r="P8" s="61" t="str">
        <f ca="1">VLOOKUP(N8,Words!$A:$F,3,0)&amp;""</f>
        <v/>
      </c>
      <c r="Q8" s="62"/>
      <c r="R8" s="56"/>
      <c r="S8" s="50">
        <f ca="1">VLOOKUP(N8,Words!$A:$F,2,0)</f>
        <v>1</v>
      </c>
      <c r="T8" s="73" t="str">
        <f ca="1">+UPPER(LEFT(N8,1))&amp;LOWER(RIGHT(N8,LEN(N8)-1))</f>
        <v>Sheep</v>
      </c>
      <c r="U8" s="22" t="str">
        <f ca="1">IFERROR(UPPER(LEFT(P8,1))&amp;LOWER(RIGHT(P8,LEN(P8)-1)),"")</f>
        <v/>
      </c>
      <c r="V8" s="44" t="str">
        <f ca="1">IF(AND(O8&lt;&gt;"",U8&lt;&gt;""),"+"&amp;O8,IF(TRIM(U8)&lt;&gt;""," +1",""))</f>
        <v/>
      </c>
      <c r="W8" s="57"/>
    </row>
    <row r="9" spans="1:23">
      <c r="A9" s="29">
        <f ca="1">+INT(RANDBETWEEN(1,COUNTA(Words!$K:$K)))</f>
        <v>28</v>
      </c>
      <c r="B9" s="30" t="str" cm="1">
        <f t="array" aca="1" ref="B9" ca="1">INDEX(Words!$K:$K,A9)</f>
        <v>pear</v>
      </c>
      <c r="C9" s="28" t="str">
        <f ca="1">VLOOKUP(B9,Words!$A:$F,4,0)&amp;""</f>
        <v/>
      </c>
      <c r="D9" s="31" t="str">
        <f ca="1">VLOOKUP(B9,Words!$A:$F,3,0)&amp;""</f>
        <v/>
      </c>
      <c r="E9" s="27"/>
      <c r="F9" s="56"/>
      <c r="G9" s="50">
        <f ca="1">VLOOKUP(B9,Words!$A:$F,2,0)</f>
        <v>2</v>
      </c>
      <c r="H9" s="73" t="str">
        <f t="shared" ref="H9:H11" ca="1" si="6">+UPPER(LEFT(B9,1))&amp;LOWER(RIGHT(B9,LEN(B9)-1))</f>
        <v>Pear</v>
      </c>
      <c r="I9" s="22" t="str">
        <f ca="1">IFERROR(UPPER(LEFT(D9,1))&amp;LOWER(RIGHT(D9,LEN(D9)-1)),"")</f>
        <v/>
      </c>
      <c r="J9" s="44" t="str">
        <f t="shared" ref="J9:J11" ca="1" si="7">IF(AND(C9&lt;&gt;"",I9&lt;&gt;""),"+"&amp;C9,IF(TRIM(I9)&lt;&gt;""," +1",""))</f>
        <v/>
      </c>
      <c r="K9" s="57"/>
      <c r="M9" s="63">
        <f ca="1">+INT(RANDBETWEEN(1,COUNTA(Words!$K:$K)))</f>
        <v>9</v>
      </c>
      <c r="N9" s="64" t="str" cm="1">
        <f t="array" aca="1" ref="N9" ca="1">INDEX(Words!$K:$K,M9)</f>
        <v>door</v>
      </c>
      <c r="O9" s="45" t="str">
        <f ca="1">VLOOKUP(N9,Words!$A:$F,4,0)&amp;""</f>
        <v/>
      </c>
      <c r="P9" s="65" t="str">
        <f ca="1">VLOOKUP(N9,Words!$A:$F,3,0)&amp;""</f>
        <v/>
      </c>
      <c r="Q9" s="62"/>
      <c r="R9" s="56"/>
      <c r="S9" s="50">
        <f ca="1">VLOOKUP(N9,Words!$A:$F,2,0)</f>
        <v>2</v>
      </c>
      <c r="T9" s="73" t="str">
        <f t="shared" ref="T9:T10" ca="1" si="8">+UPPER(LEFT(N9,1))&amp;LOWER(RIGHT(N9,LEN(N9)-1))</f>
        <v>Door</v>
      </c>
      <c r="U9" s="22" t="str">
        <f t="shared" ref="U9:U11" ca="1" si="9">IFERROR(UPPER(LEFT(P9,1))&amp;LOWER(RIGHT(P9,LEN(P9)-1)),"")</f>
        <v/>
      </c>
      <c r="V9" s="44" t="str">
        <f t="shared" ref="V9:V11" ca="1" si="10">IF(AND(O9&lt;&gt;"",U9&lt;&gt;""),"+"&amp;O9,IF(TRIM(U9)&lt;&gt;""," +1",""))</f>
        <v/>
      </c>
      <c r="W9" s="57"/>
    </row>
    <row r="10" spans="1:23">
      <c r="A10" s="29">
        <f ca="1">+INT(RANDBETWEEN(1,COUNTA(Words!$M:$M)))</f>
        <v>12</v>
      </c>
      <c r="B10" s="30" t="str" cm="1">
        <f t="array" aca="1" ref="B10" ca="1">INDEX(Words!$M:$M,A10)</f>
        <v>mouse</v>
      </c>
      <c r="C10" s="28" t="str">
        <f ca="1">VLOOKUP(B10,Words!$A:$F,4,0)&amp;""</f>
        <v/>
      </c>
      <c r="D10" s="31" t="str">
        <f ca="1">VLOOKUP(B10,Words!$A:$F,3,0)&amp;""</f>
        <v/>
      </c>
      <c r="E10" s="27"/>
      <c r="F10" s="56"/>
      <c r="G10" s="50">
        <f ca="1">VLOOKUP(B10,Words!$A:$F,2,0)</f>
        <v>3</v>
      </c>
      <c r="H10" s="73" t="str">
        <f t="shared" ca="1" si="6"/>
        <v>Mouse</v>
      </c>
      <c r="I10" s="22" t="str">
        <f ca="1">IFERROR(UPPER(LEFT(D10,1))&amp;LOWER(RIGHT(D10,LEN(D10)-1)),"")</f>
        <v/>
      </c>
      <c r="J10" s="44" t="str">
        <f t="shared" ca="1" si="7"/>
        <v/>
      </c>
      <c r="K10" s="57"/>
      <c r="M10" s="63">
        <f ca="1">+INT(RANDBETWEEN(1,COUNTA(Words!$M:$M)))</f>
        <v>24</v>
      </c>
      <c r="N10" s="64" t="str" cm="1">
        <f t="array" aca="1" ref="N10" ca="1">INDEX(Words!$M:$M,M10)</f>
        <v>wand</v>
      </c>
      <c r="O10" s="45" t="str">
        <f ca="1">VLOOKUP(N10,Words!$A:$F,4,0)&amp;""</f>
        <v/>
      </c>
      <c r="P10" s="65" t="str">
        <f ca="1">VLOOKUP(N10,Words!$A:$F,3,0)&amp;""</f>
        <v/>
      </c>
      <c r="Q10" s="62"/>
      <c r="R10" s="56"/>
      <c r="S10" s="50">
        <f ca="1">VLOOKUP(N10,Words!$A:$F,2,0)</f>
        <v>3</v>
      </c>
      <c r="T10" s="73" t="str">
        <f t="shared" ca="1" si="8"/>
        <v>Wand</v>
      </c>
      <c r="U10" s="22" t="str">
        <f t="shared" ca="1" si="9"/>
        <v/>
      </c>
      <c r="V10" s="44" t="str">
        <f t="shared" ca="1" si="10"/>
        <v/>
      </c>
      <c r="W10" s="57"/>
    </row>
    <row r="11" spans="1:23">
      <c r="A11" s="32">
        <f ca="1">+INT(RANDBETWEEN(1,COUNTA(Words!$O:$O)))</f>
        <v>27</v>
      </c>
      <c r="B11" s="33" t="str" cm="1">
        <f t="array" aca="1" ref="B11" ca="1">INDEX(Words!$O:$O,A11)</f>
        <v>watermelon</v>
      </c>
      <c r="C11" s="34" t="str">
        <f ca="1">VLOOKUP(B11,Words!$A:$F,4,0)&amp;""</f>
        <v/>
      </c>
      <c r="D11" s="35" t="str">
        <f ca="1">VLOOKUP(B11,Words!$A:$F,3,0)&amp;""</f>
        <v/>
      </c>
      <c r="E11" s="27"/>
      <c r="F11" s="56"/>
      <c r="G11" s="50">
        <f ca="1">VLOOKUP(B11,Words!$A:$F,2,0)</f>
        <v>4</v>
      </c>
      <c r="H11" s="73" t="str">
        <f t="shared" ca="1" si="6"/>
        <v>Watermelon</v>
      </c>
      <c r="I11" s="22" t="str">
        <f ca="1">IFERROR(UPPER(LEFT(D11,1))&amp;LOWER(RIGHT(D11,LEN(D11)-1)),"")</f>
        <v/>
      </c>
      <c r="J11" s="44" t="str">
        <f t="shared" ca="1" si="7"/>
        <v/>
      </c>
      <c r="K11" s="57"/>
      <c r="M11" s="66">
        <f ca="1">+INT(RANDBETWEEN(1,COUNTA(Words!$O:$O)))</f>
        <v>23</v>
      </c>
      <c r="N11" s="67" t="str" cm="1">
        <f t="array" aca="1" ref="N11" ca="1">INDEX(Words!$O:$O,M11)</f>
        <v>spring</v>
      </c>
      <c r="O11" s="68" t="str">
        <f ca="1">VLOOKUP(N11,Words!$A:$F,4,0)&amp;""</f>
        <v/>
      </c>
      <c r="P11" s="69" t="str">
        <f ca="1">VLOOKUP(N11,Words!$A:$F,3,0)&amp;""</f>
        <v/>
      </c>
      <c r="Q11" s="62"/>
      <c r="R11" s="56"/>
      <c r="S11" s="50">
        <f ca="1">VLOOKUP(N11,Words!$A:$F,2,0)</f>
        <v>4</v>
      </c>
      <c r="T11" s="73" t="str">
        <f ca="1">+UPPER(LEFT(N11,1))&amp;LOWER(RIGHT(N11,LEN(N11)-1))</f>
        <v>Spring</v>
      </c>
      <c r="U11" s="22" t="str">
        <f t="shared" ca="1" si="9"/>
        <v/>
      </c>
      <c r="V11" s="44" t="str">
        <f t="shared" ca="1" si="10"/>
        <v/>
      </c>
      <c r="W11" s="57"/>
    </row>
    <row r="12" spans="1:23" ht="15.75" customHeight="1" thickBot="1">
      <c r="F12" s="70"/>
      <c r="G12" s="23"/>
      <c r="H12" s="74"/>
      <c r="I12" s="24"/>
      <c r="J12" s="42"/>
      <c r="K12" s="71"/>
      <c r="R12" s="70"/>
      <c r="S12" s="23"/>
      <c r="T12" s="74"/>
      <c r="U12" s="24"/>
      <c r="V12" s="42"/>
      <c r="W12" s="71"/>
    </row>
    <row r="13" spans="1:23">
      <c r="A13" s="36" t="s">
        <v>224</v>
      </c>
      <c r="B13" s="37" t="s">
        <v>225</v>
      </c>
      <c r="C13" s="37" t="s">
        <v>226</v>
      </c>
      <c r="D13" s="38" t="s">
        <v>227</v>
      </c>
      <c r="F13" s="51"/>
      <c r="G13" s="39"/>
      <c r="H13" s="72"/>
      <c r="I13" s="40" t="str">
        <f>+I7</f>
        <v>Extra points:</v>
      </c>
      <c r="J13" s="7"/>
      <c r="K13" s="52"/>
      <c r="M13" s="53" t="s">
        <v>224</v>
      </c>
      <c r="N13" s="54" t="s">
        <v>225</v>
      </c>
      <c r="O13" s="54" t="s">
        <v>226</v>
      </c>
      <c r="P13" s="55" t="s">
        <v>227</v>
      </c>
      <c r="R13" s="51"/>
      <c r="S13" s="39"/>
      <c r="T13" s="72"/>
      <c r="U13" s="40" t="str">
        <f>+U7</f>
        <v>Extra points:</v>
      </c>
      <c r="V13" s="7"/>
      <c r="W13" s="52"/>
    </row>
    <row r="14" spans="1:23">
      <c r="A14" s="46">
        <f ca="1">+INT(RANDBETWEEN(1,COUNTA(Words!$I:$I)))</f>
        <v>4</v>
      </c>
      <c r="B14" s="47" t="str" cm="1">
        <f t="array" aca="1" ref="B14" ca="1">INDEX(Words!$I:$I,A14)</f>
        <v>ball</v>
      </c>
      <c r="C14" s="48" t="str">
        <f ca="1">VLOOKUP(B14,Words!$A:$F,4,0)&amp;""</f>
        <v/>
      </c>
      <c r="D14" s="49" t="str">
        <f ca="1">VLOOKUP(B14,Words!$A:$F,3,0)&amp;""</f>
        <v>bowling ball</v>
      </c>
      <c r="E14" s="27"/>
      <c r="F14" s="56"/>
      <c r="G14" s="50">
        <f ca="1">VLOOKUP(B14,Words!$A:$F,2,0)</f>
        <v>1</v>
      </c>
      <c r="H14" s="73" t="str">
        <f ca="1">+UPPER(LEFT(B14,1))&amp;LOWER(RIGHT(B14,LEN(B14)-1))</f>
        <v>Ball</v>
      </c>
      <c r="I14" s="22" t="str">
        <f ca="1">IFERROR(UPPER(LEFT(D14,1))&amp;LOWER(RIGHT(D14,LEN(D14)-1)),"")</f>
        <v>Bowling ball</v>
      </c>
      <c r="J14" s="44" t="str">
        <f ca="1">IF(AND(C14&lt;&gt;"",I14&lt;&gt;""),"+"&amp;C14,IF(TRIM(I14)&lt;&gt;""," +1",""))</f>
        <v xml:space="preserve"> +1</v>
      </c>
      <c r="K14" s="57"/>
      <c r="M14" s="58">
        <f ca="1">+INT(RANDBETWEEN(1,COUNTA(Words!$I:$I)))</f>
        <v>12</v>
      </c>
      <c r="N14" s="59" t="str" cm="1">
        <f t="array" aca="1" ref="N14" ca="1">INDEX(Words!$I:$I,M14)</f>
        <v>car</v>
      </c>
      <c r="O14" s="60" t="str">
        <f ca="1">VLOOKUP(N14,Words!$A:$F,4,0)&amp;""</f>
        <v/>
      </c>
      <c r="P14" s="61" t="str">
        <f ca="1">VLOOKUP(N14,Words!$A:$F,3,0)&amp;""</f>
        <v>racing car</v>
      </c>
      <c r="Q14" s="62"/>
      <c r="R14" s="56"/>
      <c r="S14" s="50">
        <f ca="1">VLOOKUP(N14,Words!$A:$F,2,0)</f>
        <v>1</v>
      </c>
      <c r="T14" s="73" t="str">
        <f ca="1">+UPPER(LEFT(N14,1))&amp;LOWER(RIGHT(N14,LEN(N14)-1))</f>
        <v>Car</v>
      </c>
      <c r="U14" s="22" t="str">
        <f ca="1">IFERROR(UPPER(LEFT(P14,1))&amp;LOWER(RIGHT(P14,LEN(P14)-1)),"")</f>
        <v>Racing car</v>
      </c>
      <c r="V14" s="44" t="str">
        <f ca="1">IF(AND(O14&lt;&gt;"",U14&lt;&gt;""),"+"&amp;O14,IF(TRIM(U14)&lt;&gt;""," +1",""))</f>
        <v xml:space="preserve"> +1</v>
      </c>
      <c r="W14" s="57"/>
    </row>
    <row r="15" spans="1:23">
      <c r="A15" s="29">
        <f ca="1">+INT(RANDBETWEEN(1,COUNTA(Words!$K:$K)))</f>
        <v>15</v>
      </c>
      <c r="B15" s="30" t="str" cm="1">
        <f t="array" aca="1" ref="B15" ca="1">INDEX(Words!$K:$K,A15)</f>
        <v>gloves</v>
      </c>
      <c r="C15" s="28" t="str">
        <f ca="1">VLOOKUP(B15,Words!$A:$F,4,0)&amp;""</f>
        <v/>
      </c>
      <c r="D15" s="31" t="str">
        <f ca="1">VLOOKUP(B15,Words!$A:$F,3,0)&amp;""</f>
        <v/>
      </c>
      <c r="E15" s="27"/>
      <c r="F15" s="56"/>
      <c r="G15" s="50">
        <f ca="1">VLOOKUP(B15,Words!$A:$F,2,0)</f>
        <v>2</v>
      </c>
      <c r="H15" s="73" t="str">
        <f ca="1">+UPPER(LEFT(B15,1))&amp;LOWER(RIGHT(B15,LEN(B15)-1))</f>
        <v>Gloves</v>
      </c>
      <c r="I15" s="22" t="str">
        <f ca="1">IFERROR(UPPER(LEFT(D15,1))&amp;LOWER(RIGHT(D15,LEN(D15)-1)),"")</f>
        <v/>
      </c>
      <c r="J15" s="44" t="str">
        <f t="shared" ref="J15:J17" ca="1" si="11">IF(AND(C15&lt;&gt;"",I15&lt;&gt;""),"+"&amp;C15,IF(TRIM(I15)&lt;&gt;""," +1",""))</f>
        <v/>
      </c>
      <c r="K15" s="57"/>
      <c r="M15" s="63">
        <f ca="1">+INT(RANDBETWEEN(1,COUNTA(Words!$K:$K)))</f>
        <v>12</v>
      </c>
      <c r="N15" s="64" t="str" cm="1">
        <f t="array" aca="1" ref="N15" ca="1">INDEX(Words!$K:$K,M15)</f>
        <v>fairy</v>
      </c>
      <c r="O15" s="45" t="str">
        <f ca="1">VLOOKUP(N15,Words!$A:$F,4,0)&amp;""</f>
        <v/>
      </c>
      <c r="P15" s="65" t="str">
        <f ca="1">VLOOKUP(N15,Words!$A:$F,3,0)&amp;""</f>
        <v>fairy godmother</v>
      </c>
      <c r="Q15" s="62"/>
      <c r="R15" s="56"/>
      <c r="S15" s="50">
        <f ca="1">VLOOKUP(N15,Words!$A:$F,2,0)</f>
        <v>2</v>
      </c>
      <c r="T15" s="73" t="str">
        <f t="shared" ref="T15:T17" ca="1" si="12">+UPPER(LEFT(N15,1))&amp;LOWER(RIGHT(N15,LEN(N15)-1))</f>
        <v>Fairy</v>
      </c>
      <c r="U15" s="22" t="str">
        <f ca="1">IFERROR(UPPER(LEFT(P15,1))&amp;LOWER(RIGHT(P15,LEN(P15)-1)),"")</f>
        <v>Fairy godmother</v>
      </c>
      <c r="V15" s="44" t="str">
        <f t="shared" ref="V15:V17" ca="1" si="13">IF(AND(O15&lt;&gt;"",U15&lt;&gt;""),"+"&amp;O15,IF(TRIM(U15)&lt;&gt;""," +1",""))</f>
        <v xml:space="preserve"> +1</v>
      </c>
      <c r="W15" s="57"/>
    </row>
    <row r="16" spans="1:23">
      <c r="A16" s="29">
        <f ca="1">+INT(RANDBETWEEN(1,COUNTA(Words!$M:$M)))</f>
        <v>29</v>
      </c>
      <c r="B16" s="30" t="str" cm="1">
        <f t="array" aca="1" ref="B16" ca="1">INDEX(Words!$M:$M,A16)</f>
        <v>hen</v>
      </c>
      <c r="C16" s="28" t="str">
        <f ca="1">VLOOKUP(B16,Words!$A:$F,4,0)&amp;""</f>
        <v/>
      </c>
      <c r="D16" s="31" t="str">
        <f ca="1">VLOOKUP(B16,Words!$A:$F,3,0)&amp;""</f>
        <v/>
      </c>
      <c r="E16" s="27"/>
      <c r="F16" s="56"/>
      <c r="G16" s="50">
        <f ca="1">VLOOKUP(B16,Words!$A:$F,2,0)</f>
        <v>3</v>
      </c>
      <c r="H16" s="73" t="str">
        <f ca="1">+UPPER(LEFT(B16,1))&amp;LOWER(RIGHT(B16,LEN(B16)-1))</f>
        <v>Hen</v>
      </c>
      <c r="I16" s="22" t="str">
        <f ca="1">IFERROR(UPPER(LEFT(D16,1))&amp;LOWER(RIGHT(D16,LEN(D16)-1)),"")</f>
        <v/>
      </c>
      <c r="J16" s="44" t="str">
        <f t="shared" ca="1" si="11"/>
        <v/>
      </c>
      <c r="K16" s="57"/>
      <c r="M16" s="63">
        <f ca="1">+INT(RANDBETWEEN(1,COUNTA(Words!$M:$M)))</f>
        <v>30</v>
      </c>
      <c r="N16" s="64" t="str" cm="1">
        <f t="array" aca="1" ref="N16" ca="1">INDEX(Words!$M:$M,M16)</f>
        <v>spoon</v>
      </c>
      <c r="O16" s="45" t="str">
        <f ca="1">VLOOKUP(N16,Words!$A:$F,4,0)&amp;""</f>
        <v/>
      </c>
      <c r="P16" s="65" t="str">
        <f ca="1">VLOOKUP(N16,Words!$A:$F,3,0)&amp;""</f>
        <v/>
      </c>
      <c r="Q16" s="62"/>
      <c r="R16" s="56"/>
      <c r="S16" s="50">
        <f ca="1">VLOOKUP(N16,Words!$A:$F,2,0)</f>
        <v>3</v>
      </c>
      <c r="T16" s="73" t="str">
        <f t="shared" ca="1" si="12"/>
        <v>Spoon</v>
      </c>
      <c r="U16" s="22" t="str">
        <f ca="1">IFERROR(UPPER(LEFT(P16,1))&amp;LOWER(RIGHT(P16,LEN(P16)-1)),"")</f>
        <v/>
      </c>
      <c r="V16" s="44" t="str">
        <f t="shared" ca="1" si="13"/>
        <v/>
      </c>
      <c r="W16" s="57"/>
    </row>
    <row r="17" spans="1:23">
      <c r="A17" s="32">
        <f ca="1">+INT(RANDBETWEEN(1,COUNTA(Words!$O:$O)))</f>
        <v>8</v>
      </c>
      <c r="B17" s="33" t="str" cm="1">
        <f t="array" aca="1" ref="B17" ca="1">INDEX(Words!$O:$O,A17)</f>
        <v>dandelion</v>
      </c>
      <c r="C17" s="34" t="str">
        <f ca="1">VLOOKUP(B17,Words!$A:$F,4,0)&amp;""</f>
        <v/>
      </c>
      <c r="D17" s="35" t="str">
        <f ca="1">VLOOKUP(B17,Words!$A:$F,3,0)&amp;""</f>
        <v/>
      </c>
      <c r="E17" s="27"/>
      <c r="F17" s="56"/>
      <c r="G17" s="50">
        <f ca="1">VLOOKUP(B17,Words!$A:$F,2,0)</f>
        <v>4</v>
      </c>
      <c r="H17" s="73" t="str">
        <f ca="1">+UPPER(LEFT(B17,1))&amp;LOWER(RIGHT(B17,LEN(B17)-1))</f>
        <v>Dandelion</v>
      </c>
      <c r="I17" s="22" t="str">
        <f ca="1">IFERROR(UPPER(LEFT(D17,1))&amp;LOWER(RIGHT(D17,LEN(D17)-1)),"")</f>
        <v/>
      </c>
      <c r="J17" s="44" t="str">
        <f t="shared" ca="1" si="11"/>
        <v/>
      </c>
      <c r="K17" s="57"/>
      <c r="M17" s="66">
        <f ca="1">+INT(RANDBETWEEN(1,COUNTA(Words!$O:$O)))</f>
        <v>31</v>
      </c>
      <c r="N17" s="67" t="str" cm="1">
        <f t="array" aca="1" ref="N17" ca="1">INDEX(Words!$O:$O,M17)</f>
        <v>giant</v>
      </c>
      <c r="O17" s="68" t="str">
        <f ca="1">VLOOKUP(N17,Words!$A:$F,4,0)&amp;""</f>
        <v/>
      </c>
      <c r="P17" s="69" t="str">
        <f ca="1">VLOOKUP(N17,Words!$A:$F,3,0)&amp;""</f>
        <v/>
      </c>
      <c r="Q17" s="62"/>
      <c r="R17" s="56"/>
      <c r="S17" s="50">
        <f ca="1">VLOOKUP(N17,Words!$A:$F,2,0)</f>
        <v>4</v>
      </c>
      <c r="T17" s="73" t="str">
        <f t="shared" ca="1" si="12"/>
        <v>Giant</v>
      </c>
      <c r="U17" s="22" t="str">
        <f ca="1">IFERROR(UPPER(LEFT(P17,1))&amp;LOWER(RIGHT(P17,LEN(P17)-1)),"")</f>
        <v/>
      </c>
      <c r="V17" s="44" t="str">
        <f t="shared" ca="1" si="13"/>
        <v/>
      </c>
      <c r="W17" s="57"/>
    </row>
    <row r="18" spans="1:23" ht="15.75" customHeight="1" thickBot="1">
      <c r="F18" s="70"/>
      <c r="G18" s="23"/>
      <c r="H18" s="74"/>
      <c r="I18" s="24"/>
      <c r="J18" s="42"/>
      <c r="K18" s="71"/>
      <c r="R18" s="70"/>
      <c r="S18" s="23"/>
      <c r="T18" s="74"/>
      <c r="U18" s="24"/>
      <c r="V18" s="42"/>
      <c r="W18" s="71"/>
    </row>
    <row r="19" spans="1:23">
      <c r="A19" s="36" t="s">
        <v>224</v>
      </c>
      <c r="B19" s="37" t="s">
        <v>225</v>
      </c>
      <c r="C19" s="37" t="s">
        <v>226</v>
      </c>
      <c r="D19" s="38" t="s">
        <v>227</v>
      </c>
      <c r="F19" s="51"/>
      <c r="G19" s="39"/>
      <c r="H19" s="72"/>
      <c r="I19" s="40" t="str">
        <f>+I13</f>
        <v>Extra points:</v>
      </c>
      <c r="J19" s="7"/>
      <c r="K19" s="52"/>
      <c r="M19" s="53" t="s">
        <v>224</v>
      </c>
      <c r="N19" s="54" t="s">
        <v>225</v>
      </c>
      <c r="O19" s="54" t="s">
        <v>226</v>
      </c>
      <c r="P19" s="55" t="s">
        <v>227</v>
      </c>
      <c r="R19" s="51"/>
      <c r="S19" s="39"/>
      <c r="T19" s="72"/>
      <c r="U19" s="40" t="str">
        <f>+U13</f>
        <v>Extra points:</v>
      </c>
      <c r="V19" s="7"/>
      <c r="W19" s="52"/>
    </row>
    <row r="20" spans="1:23">
      <c r="A20" s="46">
        <f ca="1">+INT(RANDBETWEEN(1,COUNTA(Words!$I:$I)))</f>
        <v>28</v>
      </c>
      <c r="B20" s="47" t="str" cm="1">
        <f t="array" aca="1" ref="B20" ca="1">INDEX(Words!$I:$I,A20)</f>
        <v>moon</v>
      </c>
      <c r="C20" s="48" t="str">
        <f ca="1">VLOOKUP(B20,Words!$A:$F,4,0)&amp;""</f>
        <v/>
      </c>
      <c r="D20" s="49" t="str">
        <f ca="1">VLOOKUP(B20,Words!$A:$F,3,0)&amp;""</f>
        <v>crescent moon</v>
      </c>
      <c r="E20" s="27"/>
      <c r="F20" s="56"/>
      <c r="G20" s="50">
        <f ca="1">VLOOKUP(B20,Words!$A:$F,2,0)</f>
        <v>1</v>
      </c>
      <c r="H20" s="73" t="str">
        <f ca="1">+UPPER(LEFT(B20,1))&amp;LOWER(RIGHT(B20,LEN(B20)-1))</f>
        <v>Moon</v>
      </c>
      <c r="I20" s="22" t="str">
        <f ca="1">IFERROR(UPPER(LEFT(D20,1))&amp;LOWER(RIGHT(D20,LEN(D20)-1)),"")</f>
        <v>Crescent moon</v>
      </c>
      <c r="J20" s="44" t="str">
        <f ca="1">IF(AND(C20&lt;&gt;"",I20&lt;&gt;""),"+"&amp;C20,IF(TRIM(I20)&lt;&gt;""," +1",""))</f>
        <v xml:space="preserve"> +1</v>
      </c>
      <c r="K20" s="57"/>
      <c r="M20" s="58">
        <f ca="1">+INT(RANDBETWEEN(1,COUNTA(Words!$I:$I)))</f>
        <v>25</v>
      </c>
      <c r="N20" s="59" t="str" cm="1">
        <f t="array" aca="1" ref="N20" ca="1">INDEX(Words!$I:$I,M20)</f>
        <v>hat</v>
      </c>
      <c r="O20" s="60" t="str">
        <f ca="1">VLOOKUP(N20,Words!$A:$F,4,0)&amp;""</f>
        <v/>
      </c>
      <c r="P20" s="61" t="str">
        <f ca="1">VLOOKUP(N20,Words!$A:$F,3,0)&amp;""</f>
        <v>magician hat</v>
      </c>
      <c r="Q20" s="62"/>
      <c r="R20" s="56"/>
      <c r="S20" s="50">
        <f ca="1">VLOOKUP(N20,Words!$A:$F,2,0)</f>
        <v>1</v>
      </c>
      <c r="T20" s="73" t="str">
        <f ca="1">+UPPER(LEFT(N20,1))&amp;LOWER(RIGHT(N20,LEN(N20)-1))</f>
        <v>Hat</v>
      </c>
      <c r="U20" s="22" t="str">
        <f ca="1">IFERROR(UPPER(LEFT(P20,1))&amp;LOWER(RIGHT(P20,LEN(P20)-1)),"")</f>
        <v>Magician hat</v>
      </c>
      <c r="V20" s="44" t="str">
        <f ca="1">IF(AND(O20&lt;&gt;"",U20&lt;&gt;""),"+"&amp;O20,IF(TRIM(U20)&lt;&gt;""," +1",""))</f>
        <v xml:space="preserve"> +1</v>
      </c>
      <c r="W20" s="57"/>
    </row>
    <row r="21" spans="1:23">
      <c r="A21" s="29">
        <f ca="1">+INT(RANDBETWEEN(1,COUNTA(Words!$K:$K)))</f>
        <v>48</v>
      </c>
      <c r="B21" s="30" t="str" cm="1">
        <f t="array" aca="1" ref="B21" ca="1">INDEX(Words!$K:$K,A21)</f>
        <v>knife</v>
      </c>
      <c r="C21" s="28" t="str">
        <f ca="1">VLOOKUP(B21,Words!$A:$F,4,0)&amp;""</f>
        <v/>
      </c>
      <c r="D21" s="31" t="str">
        <f ca="1">VLOOKUP(B21,Words!$A:$F,3,0)&amp;""</f>
        <v/>
      </c>
      <c r="E21" s="27"/>
      <c r="F21" s="56"/>
      <c r="G21" s="50">
        <f ca="1">VLOOKUP(B21,Words!$A:$F,2,0)</f>
        <v>2</v>
      </c>
      <c r="H21" s="73" t="str">
        <f ca="1">+UPPER(LEFT(B21,1))&amp;LOWER(RIGHT(B21,LEN(B21)-1))</f>
        <v>Knife</v>
      </c>
      <c r="I21" s="22" t="str">
        <f ca="1">IFERROR(UPPER(LEFT(D21,1))&amp;LOWER(RIGHT(D21,LEN(D21)-1)),"")</f>
        <v/>
      </c>
      <c r="J21" s="44" t="str">
        <f t="shared" ref="J21:J23" ca="1" si="14">IF(AND(C21&lt;&gt;"",I21&lt;&gt;""),"+"&amp;C21,IF(TRIM(I21)&lt;&gt;""," +1",""))</f>
        <v/>
      </c>
      <c r="K21" s="57"/>
      <c r="M21" s="63">
        <f ca="1">+INT(RANDBETWEEN(1,COUNTA(Words!$K:$K)))</f>
        <v>8</v>
      </c>
      <c r="N21" s="64" t="str" cm="1">
        <f t="array" aca="1" ref="N21" ca="1">INDEX(Words!$K:$K,M21)</f>
        <v>doll</v>
      </c>
      <c r="O21" s="45" t="str">
        <f ca="1">VLOOKUP(N21,Words!$A:$F,4,0)&amp;""</f>
        <v/>
      </c>
      <c r="P21" s="65" t="str">
        <f ca="1">VLOOKUP(N21,Words!$A:$F,3,0)&amp;""</f>
        <v>doll house</v>
      </c>
      <c r="Q21" s="62"/>
      <c r="R21" s="56"/>
      <c r="S21" s="50">
        <f ca="1">VLOOKUP(N21,Words!$A:$F,2,0)</f>
        <v>2</v>
      </c>
      <c r="T21" s="73" t="str">
        <f t="shared" ref="T21:T23" ca="1" si="15">+UPPER(LEFT(N21,1))&amp;LOWER(RIGHT(N21,LEN(N21)-1))</f>
        <v>Doll</v>
      </c>
      <c r="U21" s="22" t="str">
        <f ca="1">IFERROR(UPPER(LEFT(P21,1))&amp;LOWER(RIGHT(P21,LEN(P21)-1)),"")</f>
        <v>Doll house</v>
      </c>
      <c r="V21" s="44" t="str">
        <f t="shared" ref="V21:V23" ca="1" si="16">IF(AND(O21&lt;&gt;"",U21&lt;&gt;""),"+"&amp;O21,IF(TRIM(U21)&lt;&gt;""," +1",""))</f>
        <v xml:space="preserve"> +1</v>
      </c>
      <c r="W21" s="57"/>
    </row>
    <row r="22" spans="1:23">
      <c r="A22" s="29">
        <f ca="1">+INT(RANDBETWEEN(1,COUNTA(Words!$M:$M)))</f>
        <v>6</v>
      </c>
      <c r="B22" s="30" t="str" cm="1">
        <f t="array" aca="1" ref="B22" ca="1">INDEX(Words!$M:$M,A22)</f>
        <v>easter rabbit</v>
      </c>
      <c r="C22" s="28" t="str">
        <f ca="1">VLOOKUP(B22,Words!$A:$F,4,0)&amp;""</f>
        <v/>
      </c>
      <c r="D22" s="31" t="str">
        <f ca="1">VLOOKUP(B22,Words!$A:$F,3,0)&amp;""</f>
        <v/>
      </c>
      <c r="E22" s="27"/>
      <c r="F22" s="56"/>
      <c r="G22" s="50">
        <f ca="1">VLOOKUP(B22,Words!$A:$F,2,0)</f>
        <v>3</v>
      </c>
      <c r="H22" s="73" t="str">
        <f ca="1">+UPPER(LEFT(B22,1))&amp;LOWER(RIGHT(B22,LEN(B22)-1))</f>
        <v>Easter rabbit</v>
      </c>
      <c r="I22" s="22" t="str">
        <f ca="1">IFERROR(UPPER(LEFT(D22,1))&amp;LOWER(RIGHT(D22,LEN(D22)-1)),"")</f>
        <v/>
      </c>
      <c r="J22" s="44" t="str">
        <f t="shared" ca="1" si="14"/>
        <v/>
      </c>
      <c r="K22" s="57"/>
      <c r="M22" s="63">
        <f ca="1">+INT(RANDBETWEEN(1,COUNTA(Words!$M:$M)))</f>
        <v>18</v>
      </c>
      <c r="N22" s="64" t="str" cm="1">
        <f t="array" aca="1" ref="N22" ca="1">INDEX(Words!$M:$M,M22)</f>
        <v>snoring</v>
      </c>
      <c r="O22" s="45" t="str">
        <f ca="1">VLOOKUP(N22,Words!$A:$F,4,0)&amp;""</f>
        <v/>
      </c>
      <c r="P22" s="65" t="str">
        <f ca="1">VLOOKUP(N22,Words!$A:$F,3,0)&amp;""</f>
        <v/>
      </c>
      <c r="Q22" s="62"/>
      <c r="R22" s="56"/>
      <c r="S22" s="50">
        <f ca="1">VLOOKUP(N22,Words!$A:$F,2,0)</f>
        <v>3</v>
      </c>
      <c r="T22" s="73" t="str">
        <f t="shared" ca="1" si="15"/>
        <v>Snoring</v>
      </c>
      <c r="U22" s="22" t="str">
        <f ca="1">IFERROR(UPPER(LEFT(P22,1))&amp;LOWER(RIGHT(P22,LEN(P22)-1)),"")</f>
        <v/>
      </c>
      <c r="V22" s="44" t="str">
        <f t="shared" ca="1" si="16"/>
        <v/>
      </c>
      <c r="W22" s="57"/>
    </row>
    <row r="23" spans="1:23">
      <c r="A23" s="32">
        <f ca="1">+INT(RANDBETWEEN(1,COUNTA(Words!$O:$O)))</f>
        <v>2</v>
      </c>
      <c r="B23" s="33" t="str" cm="1">
        <f t="array" aca="1" ref="B23" ca="1">INDEX(Words!$O:$O,A23)</f>
        <v>autumm</v>
      </c>
      <c r="C23" s="34" t="str">
        <f ca="1">VLOOKUP(B23,Words!$A:$F,4,0)&amp;""</f>
        <v/>
      </c>
      <c r="D23" s="35" t="str">
        <f ca="1">VLOOKUP(B23,Words!$A:$F,3,0)&amp;""</f>
        <v/>
      </c>
      <c r="E23" s="27"/>
      <c r="F23" s="56"/>
      <c r="G23" s="50">
        <f ca="1">VLOOKUP(B23,Words!$A:$F,2,0)</f>
        <v>4</v>
      </c>
      <c r="H23" s="73" t="str">
        <f ca="1">+UPPER(LEFT(B23,1))&amp;LOWER(RIGHT(B23,LEN(B23)-1))</f>
        <v>Autumm</v>
      </c>
      <c r="I23" s="22" t="str">
        <f ca="1">IFERROR(UPPER(LEFT(D23,1))&amp;LOWER(RIGHT(D23,LEN(D23)-1)),"")</f>
        <v/>
      </c>
      <c r="J23" s="44" t="str">
        <f t="shared" ca="1" si="14"/>
        <v/>
      </c>
      <c r="K23" s="57"/>
      <c r="M23" s="66">
        <f ca="1">+INT(RANDBETWEEN(1,COUNTA(Words!$O:$O)))</f>
        <v>15</v>
      </c>
      <c r="N23" s="67" t="str" cm="1">
        <f t="array" aca="1" ref="N23" ca="1">INDEX(Words!$O:$O,M23)</f>
        <v>mole</v>
      </c>
      <c r="O23" s="68" t="str">
        <f ca="1">VLOOKUP(N23,Words!$A:$F,4,0)&amp;""</f>
        <v/>
      </c>
      <c r="P23" s="69" t="str">
        <f ca="1">VLOOKUP(N23,Words!$A:$F,3,0)&amp;""</f>
        <v/>
      </c>
      <c r="Q23" s="62"/>
      <c r="R23" s="56"/>
      <c r="S23" s="50">
        <f ca="1">VLOOKUP(N23,Words!$A:$F,2,0)</f>
        <v>4</v>
      </c>
      <c r="T23" s="73" t="str">
        <f t="shared" ca="1" si="15"/>
        <v>Mole</v>
      </c>
      <c r="U23" s="22" t="str">
        <f ca="1">IFERROR(UPPER(LEFT(P23,1))&amp;LOWER(RIGHT(P23,LEN(P23)-1)),"")</f>
        <v/>
      </c>
      <c r="V23" s="44" t="str">
        <f t="shared" ca="1" si="16"/>
        <v/>
      </c>
      <c r="W23" s="57"/>
    </row>
    <row r="24" spans="1:23" ht="15.75" customHeight="1" thickBot="1">
      <c r="F24" s="70"/>
      <c r="G24" s="23"/>
      <c r="H24" s="74"/>
      <c r="I24" s="24"/>
      <c r="J24" s="42"/>
      <c r="K24" s="71"/>
      <c r="R24" s="70"/>
      <c r="S24" s="23"/>
      <c r="T24" s="74"/>
      <c r="U24" s="24"/>
      <c r="V24" s="42"/>
      <c r="W24" s="71"/>
    </row>
    <row r="25" spans="1:23">
      <c r="A25" s="36" t="s">
        <v>224</v>
      </c>
      <c r="B25" s="37" t="s">
        <v>225</v>
      </c>
      <c r="C25" s="37" t="s">
        <v>226</v>
      </c>
      <c r="D25" s="38" t="s">
        <v>227</v>
      </c>
      <c r="F25" s="51"/>
      <c r="G25" s="39"/>
      <c r="H25" s="72"/>
      <c r="I25" s="40" t="str">
        <f>+I19</f>
        <v>Extra points:</v>
      </c>
      <c r="J25" s="7"/>
      <c r="K25" s="52"/>
      <c r="M25" s="53" t="s">
        <v>224</v>
      </c>
      <c r="N25" s="54" t="s">
        <v>225</v>
      </c>
      <c r="O25" s="54" t="s">
        <v>226</v>
      </c>
      <c r="P25" s="55" t="s">
        <v>227</v>
      </c>
      <c r="R25" s="51"/>
      <c r="S25" s="39"/>
      <c r="T25" s="72"/>
      <c r="U25" s="40" t="str">
        <f>+U19</f>
        <v>Extra points:</v>
      </c>
      <c r="V25" s="7"/>
      <c r="W25" s="52"/>
    </row>
    <row r="26" spans="1:23">
      <c r="A26" s="46">
        <f ca="1">+INT(RANDBETWEEN(1,COUNTA(Words!$I:$I)))</f>
        <v>12</v>
      </c>
      <c r="B26" s="47" t="str" cm="1">
        <f t="array" aca="1" ref="B26" ca="1">INDEX(Words!$I:$I,A26)</f>
        <v>car</v>
      </c>
      <c r="C26" s="48" t="str">
        <f ca="1">VLOOKUP(B26,Words!$A:$F,4,0)&amp;""</f>
        <v/>
      </c>
      <c r="D26" s="49" t="str">
        <f ca="1">VLOOKUP(B26,Words!$A:$F,3,0)&amp;""</f>
        <v>racing car</v>
      </c>
      <c r="E26" s="27"/>
      <c r="F26" s="56"/>
      <c r="G26" s="50">
        <f ca="1">VLOOKUP(B26,Words!$A:$F,2,0)</f>
        <v>1</v>
      </c>
      <c r="H26" s="73" t="str">
        <f ca="1">+UPPER(LEFT(B26,1))&amp;LOWER(RIGHT(B26,LEN(B26)-1))</f>
        <v>Car</v>
      </c>
      <c r="I26" s="22" t="str">
        <f ca="1">IFERROR(UPPER(LEFT(D26,1))&amp;LOWER(RIGHT(D26,LEN(D26)-1)),"")</f>
        <v>Racing car</v>
      </c>
      <c r="J26" s="44" t="str">
        <f ca="1">IF(AND(C26&lt;&gt;"",I26&lt;&gt;""),"+"&amp;C26,IF(TRIM(I26)&lt;&gt;""," +1",""))</f>
        <v xml:space="preserve"> +1</v>
      </c>
      <c r="K26" s="57"/>
      <c r="M26" s="58">
        <f ca="1">+INT(RANDBETWEEN(1,COUNTA(Words!$I:$I)))</f>
        <v>30</v>
      </c>
      <c r="N26" s="59" t="str" cm="1">
        <f t="array" aca="1" ref="N26" ca="1">INDEX(Words!$I:$I,M26)</f>
        <v>plane</v>
      </c>
      <c r="O26" s="60" t="str">
        <f ca="1">VLOOKUP(N26,Words!$A:$F,4,0)&amp;""</f>
        <v/>
      </c>
      <c r="P26" s="61" t="str">
        <f ca="1">VLOOKUP(N26,Words!$A:$F,3,0)&amp;""</f>
        <v/>
      </c>
      <c r="Q26" s="62"/>
      <c r="R26" s="56"/>
      <c r="S26" s="50">
        <f ca="1">VLOOKUP(N26,Words!$A:$F,2,0)</f>
        <v>1</v>
      </c>
      <c r="T26" s="73" t="str">
        <f ca="1">+UPPER(LEFT(N26,1))&amp;LOWER(RIGHT(N26,LEN(N26)-1))</f>
        <v>Plane</v>
      </c>
      <c r="U26" s="22" t="str">
        <f ca="1">IFERROR(UPPER(LEFT(P26,1))&amp;LOWER(RIGHT(P26,LEN(P26)-1)),"")</f>
        <v/>
      </c>
      <c r="V26" s="44" t="str">
        <f ca="1">IF(AND(O26&lt;&gt;"",U26&lt;&gt;""),"+"&amp;O26,IF(TRIM(U26)&lt;&gt;""," +1",""))</f>
        <v/>
      </c>
      <c r="W26" s="57"/>
    </row>
    <row r="27" spans="1:23">
      <c r="A27" s="29">
        <f ca="1">+INT(RANDBETWEEN(1,COUNTA(Words!$K:$K)))</f>
        <v>37</v>
      </c>
      <c r="B27" s="30" t="str" cm="1">
        <f t="array" aca="1" ref="B27" ca="1">INDEX(Words!$K:$K,A27)</f>
        <v>swan</v>
      </c>
      <c r="C27" s="28" t="str">
        <f ca="1">VLOOKUP(B27,Words!$A:$F,4,0)&amp;""</f>
        <v/>
      </c>
      <c r="D27" s="31" t="str">
        <f ca="1">VLOOKUP(B27,Words!$A:$F,3,0)&amp;""</f>
        <v/>
      </c>
      <c r="E27" s="27"/>
      <c r="F27" s="56"/>
      <c r="G27" s="50">
        <f ca="1">VLOOKUP(B27,Words!$A:$F,2,0)</f>
        <v>2</v>
      </c>
      <c r="H27" s="73" t="str">
        <f t="shared" ref="H27:H29" ca="1" si="17">+UPPER(LEFT(B27,1))&amp;LOWER(RIGHT(B27,LEN(B27)-1))</f>
        <v>Swan</v>
      </c>
      <c r="I27" s="22" t="str">
        <f ca="1">IFERROR(UPPER(LEFT(D27,1))&amp;LOWER(RIGHT(D27,LEN(D27)-1)),"")</f>
        <v/>
      </c>
      <c r="J27" s="44" t="str">
        <f t="shared" ref="J27:J29" ca="1" si="18">IF(AND(C27&lt;&gt;"",I27&lt;&gt;""),"+"&amp;C27,IF(TRIM(I27)&lt;&gt;""," +1",""))</f>
        <v/>
      </c>
      <c r="K27" s="57"/>
      <c r="M27" s="63">
        <f ca="1">+INT(RANDBETWEEN(1,COUNTA(Words!$K:$K)))</f>
        <v>45</v>
      </c>
      <c r="N27" s="64" t="str" cm="1">
        <f t="array" aca="1" ref="N27" ca="1">INDEX(Words!$K:$K,M27)</f>
        <v>zebra</v>
      </c>
      <c r="O27" s="45" t="str">
        <f ca="1">VLOOKUP(N27,Words!$A:$F,4,0)&amp;""</f>
        <v/>
      </c>
      <c r="P27" s="65" t="str">
        <f ca="1">VLOOKUP(N27,Words!$A:$F,3,0)&amp;""</f>
        <v/>
      </c>
      <c r="Q27" s="62"/>
      <c r="R27" s="56"/>
      <c r="S27" s="50">
        <f ca="1">VLOOKUP(N27,Words!$A:$F,2,0)</f>
        <v>2</v>
      </c>
      <c r="T27" s="73" t="str">
        <f t="shared" ref="T27:T29" ca="1" si="19">+UPPER(LEFT(N27,1))&amp;LOWER(RIGHT(N27,LEN(N27)-1))</f>
        <v>Zebra</v>
      </c>
      <c r="U27" s="22" t="str">
        <f t="shared" ref="U27:U29" ca="1" si="20">IFERROR(UPPER(LEFT(P27,1))&amp;LOWER(RIGHT(P27,LEN(P27)-1)),"")</f>
        <v/>
      </c>
      <c r="V27" s="44" t="str">
        <f t="shared" ref="V27:V29" ca="1" si="21">IF(AND(O27&lt;&gt;"",U27&lt;&gt;""),"+"&amp;O27,IF(TRIM(U27)&lt;&gt;""," +1",""))</f>
        <v/>
      </c>
      <c r="W27" s="57"/>
    </row>
    <row r="28" spans="1:23">
      <c r="A28" s="29">
        <f ca="1">+INT(RANDBETWEEN(1,COUNTA(Words!$M:$M)))</f>
        <v>13</v>
      </c>
      <c r="B28" s="30" t="str" cm="1">
        <f t="array" aca="1" ref="B28" ca="1">INDEX(Words!$M:$M,A28)</f>
        <v>rock</v>
      </c>
      <c r="C28" s="28" t="str">
        <f ca="1">VLOOKUP(B28,Words!$A:$F,4,0)&amp;""</f>
        <v/>
      </c>
      <c r="D28" s="31" t="str">
        <f ca="1">VLOOKUP(B28,Words!$A:$F,3,0)&amp;""</f>
        <v/>
      </c>
      <c r="E28" s="27"/>
      <c r="F28" s="56"/>
      <c r="G28" s="50">
        <f ca="1">VLOOKUP(B28,Words!$A:$F,2,0)</f>
        <v>3</v>
      </c>
      <c r="H28" s="73" t="str">
        <f t="shared" ca="1" si="17"/>
        <v>Rock</v>
      </c>
      <c r="I28" s="22" t="str">
        <f t="shared" ref="I28:I29" ca="1" si="22">IFERROR(UPPER(LEFT(D28,1))&amp;LOWER(RIGHT(D28,LEN(D28)-1)),"")</f>
        <v/>
      </c>
      <c r="J28" s="44" t="str">
        <f t="shared" ca="1" si="18"/>
        <v/>
      </c>
      <c r="K28" s="57"/>
      <c r="M28" s="63">
        <f ca="1">+INT(RANDBETWEEN(1,COUNTA(Words!$M:$M)))</f>
        <v>8</v>
      </c>
      <c r="N28" s="64" t="str" cm="1">
        <f t="array" aca="1" ref="N28" ca="1">INDEX(Words!$M:$M,M28)</f>
        <v>horse</v>
      </c>
      <c r="O28" s="45" t="str">
        <f ca="1">VLOOKUP(N28,Words!$A:$F,4,0)&amp;""</f>
        <v/>
      </c>
      <c r="P28" s="65" t="str">
        <f ca="1">VLOOKUP(N28,Words!$A:$F,3,0)&amp;""</f>
        <v>rocking horse</v>
      </c>
      <c r="Q28" s="62"/>
      <c r="R28" s="56"/>
      <c r="S28" s="50">
        <f ca="1">VLOOKUP(N28,Words!$A:$F,2,0)</f>
        <v>3</v>
      </c>
      <c r="T28" s="73" t="str">
        <f t="shared" ca="1" si="19"/>
        <v>Horse</v>
      </c>
      <c r="U28" s="22" t="str">
        <f t="shared" ca="1" si="20"/>
        <v>Rocking horse</v>
      </c>
      <c r="V28" s="44" t="str">
        <f t="shared" ca="1" si="21"/>
        <v xml:space="preserve"> +1</v>
      </c>
      <c r="W28" s="57"/>
    </row>
    <row r="29" spans="1:23">
      <c r="A29" s="32">
        <f ca="1">+INT(RANDBETWEEN(1,COUNTA(Words!$O:$O)))</f>
        <v>4</v>
      </c>
      <c r="B29" s="33" t="str" cm="1">
        <f t="array" aca="1" ref="B29" ca="1">INDEX(Words!$O:$O,A29)</f>
        <v>big ben</v>
      </c>
      <c r="C29" s="34" t="str">
        <f ca="1">VLOOKUP(B29,Words!$A:$F,4,0)&amp;""</f>
        <v/>
      </c>
      <c r="D29" s="35" t="str">
        <f ca="1">VLOOKUP(B29,Words!$A:$F,3,0)&amp;""</f>
        <v/>
      </c>
      <c r="E29" s="27"/>
      <c r="F29" s="56"/>
      <c r="G29" s="50">
        <f ca="1">VLOOKUP(B29,Words!$A:$F,2,0)</f>
        <v>4</v>
      </c>
      <c r="H29" s="73" t="str">
        <f t="shared" ca="1" si="17"/>
        <v>Big ben</v>
      </c>
      <c r="I29" s="22" t="str">
        <f t="shared" ca="1" si="22"/>
        <v/>
      </c>
      <c r="J29" s="44" t="str">
        <f t="shared" ca="1" si="18"/>
        <v/>
      </c>
      <c r="K29" s="57"/>
      <c r="M29" s="66">
        <f ca="1">+INT(RANDBETWEEN(1,COUNTA(Words!$O:$O)))</f>
        <v>9</v>
      </c>
      <c r="N29" s="67" t="str" cm="1">
        <f t="array" aca="1" ref="N29" ca="1">INDEX(Words!$O:$O,M29)</f>
        <v>dragon</v>
      </c>
      <c r="O29" s="68" t="str">
        <f ca="1">VLOOKUP(N29,Words!$A:$F,4,0)&amp;""</f>
        <v/>
      </c>
      <c r="P29" s="69" t="str">
        <f ca="1">VLOOKUP(N29,Words!$A:$F,3,0)&amp;""</f>
        <v/>
      </c>
      <c r="Q29" s="62"/>
      <c r="R29" s="56"/>
      <c r="S29" s="50">
        <f ca="1">VLOOKUP(N29,Words!$A:$F,2,0)</f>
        <v>4</v>
      </c>
      <c r="T29" s="73" t="str">
        <f t="shared" ca="1" si="19"/>
        <v>Dragon</v>
      </c>
      <c r="U29" s="22" t="str">
        <f t="shared" ca="1" si="20"/>
        <v/>
      </c>
      <c r="V29" s="44" t="str">
        <f t="shared" ca="1" si="21"/>
        <v/>
      </c>
      <c r="W29" s="57"/>
    </row>
    <row r="30" spans="1:23" ht="15.75" customHeight="1" thickBot="1">
      <c r="F30" s="70"/>
      <c r="G30" s="23"/>
      <c r="H30" s="74"/>
      <c r="I30" s="24"/>
      <c r="J30" s="42"/>
      <c r="K30" s="71"/>
      <c r="R30" s="70"/>
      <c r="S30" s="23"/>
      <c r="T30" s="74"/>
      <c r="U30" s="24"/>
      <c r="V30" s="42"/>
      <c r="W30" s="71"/>
    </row>
    <row r="31" spans="1:23">
      <c r="A31" s="36" t="s">
        <v>224</v>
      </c>
      <c r="B31" s="37" t="s">
        <v>225</v>
      </c>
      <c r="C31" s="37" t="s">
        <v>226</v>
      </c>
      <c r="D31" s="38" t="s">
        <v>227</v>
      </c>
      <c r="F31" s="51"/>
      <c r="G31" s="39"/>
      <c r="H31" s="72"/>
      <c r="I31" s="40" t="str">
        <f>+I25</f>
        <v>Extra points:</v>
      </c>
      <c r="J31" s="7"/>
      <c r="K31" s="52"/>
      <c r="M31" s="53" t="s">
        <v>224</v>
      </c>
      <c r="N31" s="54" t="s">
        <v>225</v>
      </c>
      <c r="O31" s="54" t="s">
        <v>226</v>
      </c>
      <c r="P31" s="55" t="s">
        <v>227</v>
      </c>
      <c r="R31" s="51"/>
      <c r="S31" s="39"/>
      <c r="T31" s="72"/>
      <c r="U31" s="40" t="str">
        <f>+U25</f>
        <v>Extra points:</v>
      </c>
      <c r="V31" s="7"/>
      <c r="W31" s="52"/>
    </row>
    <row r="32" spans="1:23">
      <c r="A32" s="46">
        <f ca="1">+INT(RANDBETWEEN(1,COUNTA(Words!$I:$I)))</f>
        <v>42</v>
      </c>
      <c r="B32" s="47" t="str" cm="1">
        <f t="array" aca="1" ref="B32" ca="1">INDEX(Words!$I:$I,A32)</f>
        <v>star</v>
      </c>
      <c r="C32" s="48" t="str">
        <f ca="1">VLOOKUP(B32,Words!$A:$F,4,0)&amp;""</f>
        <v/>
      </c>
      <c r="D32" s="49" t="str">
        <f ca="1">VLOOKUP(B32,Words!$A:$F,3,0)&amp;""</f>
        <v>shooting star</v>
      </c>
      <c r="E32" s="27"/>
      <c r="F32" s="56"/>
      <c r="G32" s="50">
        <f ca="1">VLOOKUP(B32,Words!$A:$F,2,0)</f>
        <v>1</v>
      </c>
      <c r="H32" s="73" t="str">
        <f ca="1">+UPPER(LEFT(B32,1))&amp;LOWER(RIGHT(B32,LEN(B32)-1))</f>
        <v>Star</v>
      </c>
      <c r="I32" s="22" t="str">
        <f ca="1">IFERROR(UPPER(LEFT(D32,1))&amp;LOWER(RIGHT(D32,LEN(D32)-1)),"")</f>
        <v>Shooting star</v>
      </c>
      <c r="J32" s="44" t="str">
        <f ca="1">IF(AND(C32&lt;&gt;"",I32&lt;&gt;""),"+"&amp;C32,IF(TRIM(I32)&lt;&gt;""," +1",""))</f>
        <v xml:space="preserve"> +1</v>
      </c>
      <c r="K32" s="57"/>
      <c r="M32" s="58">
        <f ca="1">+INT(RANDBETWEEN(1,COUNTA(Words!$I:$I)))</f>
        <v>10</v>
      </c>
      <c r="N32" s="59" t="str" cm="1">
        <f t="array" aca="1" ref="N32" ca="1">INDEX(Words!$I:$I,M32)</f>
        <v>butterfly</v>
      </c>
      <c r="O32" s="60" t="str">
        <f ca="1">VLOOKUP(N32,Words!$A:$F,4,0)&amp;""</f>
        <v/>
      </c>
      <c r="P32" s="61" t="str">
        <f ca="1">VLOOKUP(N32,Words!$A:$F,3,0)&amp;""</f>
        <v/>
      </c>
      <c r="Q32" s="62"/>
      <c r="R32" s="56"/>
      <c r="S32" s="50">
        <f ca="1">VLOOKUP(N32,Words!$A:$F,2,0)</f>
        <v>1</v>
      </c>
      <c r="T32" s="73" t="str">
        <f ca="1">+UPPER(LEFT(N32,1))&amp;LOWER(RIGHT(N32,LEN(N32)-1))</f>
        <v>Butterfly</v>
      </c>
      <c r="U32" s="22" t="str">
        <f ca="1">IFERROR(UPPER(LEFT(P32,1))&amp;LOWER(RIGHT(P32,LEN(P32)-1)),"")</f>
        <v/>
      </c>
      <c r="V32" s="44" t="str">
        <f ca="1">IF(AND(O32&lt;&gt;"",U32&lt;&gt;""),"+"&amp;O32,IF(TRIM(U32)&lt;&gt;""," +1",""))</f>
        <v/>
      </c>
      <c r="W32" s="57"/>
    </row>
    <row r="33" spans="1:23">
      <c r="A33" s="29">
        <f ca="1">+INT(RANDBETWEEN(1,COUNTA(Words!$K:$K)))</f>
        <v>27</v>
      </c>
      <c r="B33" s="30" t="str" cm="1">
        <f t="array" aca="1" ref="B33" ca="1">INDEX(Words!$K:$K,A33)</f>
        <v>owl</v>
      </c>
      <c r="C33" s="28" t="str">
        <f ca="1">VLOOKUP(B33,Words!$A:$F,4,0)&amp;""</f>
        <v/>
      </c>
      <c r="D33" s="31" t="str">
        <f ca="1">VLOOKUP(B33,Words!$A:$F,3,0)&amp;""</f>
        <v/>
      </c>
      <c r="E33" s="27"/>
      <c r="F33" s="56"/>
      <c r="G33" s="50">
        <f ca="1">VLOOKUP(B33,Words!$A:$F,2,0)</f>
        <v>2</v>
      </c>
      <c r="H33" s="73" t="str">
        <f t="shared" ref="H33:H35" ca="1" si="23">+UPPER(LEFT(B33,1))&amp;LOWER(RIGHT(B33,LEN(B33)-1))</f>
        <v>Owl</v>
      </c>
      <c r="I33" s="22" t="str">
        <f t="shared" ref="I33:I35" ca="1" si="24">IFERROR(UPPER(LEFT(D33,1))&amp;LOWER(RIGHT(D33,LEN(D33)-1)),"")</f>
        <v/>
      </c>
      <c r="J33" s="44" t="str">
        <f t="shared" ref="J33:J35" ca="1" si="25">IF(AND(C33&lt;&gt;"",I33&lt;&gt;""),"+"&amp;C33,IF(TRIM(I33)&lt;&gt;""," +1",""))</f>
        <v/>
      </c>
      <c r="K33" s="57"/>
      <c r="M33" s="63">
        <f ca="1">+INT(RANDBETWEEN(1,COUNTA(Words!$K:$K)))</f>
        <v>24</v>
      </c>
      <c r="N33" s="64" t="str" cm="1">
        <f t="array" aca="1" ref="N33" ca="1">INDEX(Words!$K:$K,M33)</f>
        <v>mouth</v>
      </c>
      <c r="O33" s="45" t="str">
        <f ca="1">VLOOKUP(N33,Words!$A:$F,4,0)&amp;""</f>
        <v/>
      </c>
      <c r="P33" s="65" t="str">
        <f ca="1">VLOOKUP(N33,Words!$A:$F,3,0)&amp;""</f>
        <v/>
      </c>
      <c r="Q33" s="62"/>
      <c r="R33" s="56"/>
      <c r="S33" s="50">
        <f ca="1">VLOOKUP(N33,Words!$A:$F,2,0)</f>
        <v>2</v>
      </c>
      <c r="T33" s="73" t="str">
        <f t="shared" ref="T33:T35" ca="1" si="26">+UPPER(LEFT(N33,1))&amp;LOWER(RIGHT(N33,LEN(N33)-1))</f>
        <v>Mouth</v>
      </c>
      <c r="U33" s="22" t="str">
        <f t="shared" ref="U33:U35" ca="1" si="27">IFERROR(UPPER(LEFT(P33,1))&amp;LOWER(RIGHT(P33,LEN(P33)-1)),"")</f>
        <v/>
      </c>
      <c r="V33" s="44" t="str">
        <f t="shared" ref="V33:V35" ca="1" si="28">IF(AND(O33&lt;&gt;"",U33&lt;&gt;""),"+"&amp;O33,IF(TRIM(U33)&lt;&gt;""," +1",""))</f>
        <v/>
      </c>
      <c r="W33" s="57"/>
    </row>
    <row r="34" spans="1:23">
      <c r="A34" s="29">
        <f ca="1">+INT(RANDBETWEEN(1,COUNTA(Words!$M:$M)))</f>
        <v>23</v>
      </c>
      <c r="B34" s="30" t="str" cm="1">
        <f t="array" aca="1" ref="B34" ca="1">INDEX(Words!$M:$M,A34)</f>
        <v>van</v>
      </c>
      <c r="C34" s="28" t="str">
        <f ca="1">VLOOKUP(B34,Words!$A:$F,4,0)&amp;""</f>
        <v/>
      </c>
      <c r="D34" s="31" t="str">
        <f ca="1">VLOOKUP(B34,Words!$A:$F,3,0)&amp;""</f>
        <v>Ice-cream van</v>
      </c>
      <c r="E34" s="27"/>
      <c r="F34" s="56"/>
      <c r="G34" s="50">
        <f ca="1">VLOOKUP(B34,Words!$A:$F,2,0)</f>
        <v>3</v>
      </c>
      <c r="H34" s="73" t="str">
        <f t="shared" ca="1" si="23"/>
        <v>Van</v>
      </c>
      <c r="I34" s="22" t="str">
        <f t="shared" ca="1" si="24"/>
        <v>Ice-cream van</v>
      </c>
      <c r="J34" s="44" t="str">
        <f t="shared" ca="1" si="25"/>
        <v xml:space="preserve"> +1</v>
      </c>
      <c r="K34" s="57"/>
      <c r="M34" s="63">
        <f ca="1">+INT(RANDBETWEEN(1,COUNTA(Words!$M:$M)))</f>
        <v>3</v>
      </c>
      <c r="N34" s="64" t="str" cm="1">
        <f t="array" aca="1" ref="N34" ca="1">INDEX(Words!$M:$M,M34)</f>
        <v>bridge</v>
      </c>
      <c r="O34" s="45" t="str">
        <f ca="1">VLOOKUP(N34,Words!$A:$F,4,0)&amp;""</f>
        <v/>
      </c>
      <c r="P34" s="65" t="str">
        <f ca="1">VLOOKUP(N34,Words!$A:$F,3,0)&amp;""</f>
        <v>bridge troll</v>
      </c>
      <c r="Q34" s="62"/>
      <c r="R34" s="56"/>
      <c r="S34" s="50">
        <f ca="1">VLOOKUP(N34,Words!$A:$F,2,0)</f>
        <v>3</v>
      </c>
      <c r="T34" s="73" t="str">
        <f t="shared" ca="1" si="26"/>
        <v>Bridge</v>
      </c>
      <c r="U34" s="22" t="str">
        <f t="shared" ca="1" si="27"/>
        <v>Bridge troll</v>
      </c>
      <c r="V34" s="44" t="str">
        <f t="shared" ca="1" si="28"/>
        <v xml:space="preserve"> +1</v>
      </c>
      <c r="W34" s="57"/>
    </row>
    <row r="35" spans="1:23">
      <c r="A35" s="32">
        <f ca="1">+INT(RANDBETWEEN(1,COUNTA(Words!$O:$O)))</f>
        <v>6</v>
      </c>
      <c r="B35" s="33" t="str" cm="1">
        <f t="array" aca="1" ref="B35" ca="1">INDEX(Words!$O:$O,A35)</f>
        <v>cello tape</v>
      </c>
      <c r="C35" s="34" t="str">
        <f ca="1">VLOOKUP(B35,Words!$A:$F,4,0)&amp;""</f>
        <v/>
      </c>
      <c r="D35" s="35" t="str">
        <f ca="1">VLOOKUP(B35,Words!$A:$F,3,0)&amp;""</f>
        <v/>
      </c>
      <c r="E35" s="27"/>
      <c r="F35" s="56"/>
      <c r="G35" s="50">
        <f ca="1">VLOOKUP(B35,Words!$A:$F,2,0)</f>
        <v>4</v>
      </c>
      <c r="H35" s="73" t="str">
        <f t="shared" ca="1" si="23"/>
        <v>Cello tape</v>
      </c>
      <c r="I35" s="22" t="str">
        <f t="shared" ca="1" si="24"/>
        <v/>
      </c>
      <c r="J35" s="44" t="str">
        <f t="shared" ca="1" si="25"/>
        <v/>
      </c>
      <c r="K35" s="57"/>
      <c r="M35" s="66">
        <f ca="1">+INT(RANDBETWEEN(1,COUNTA(Words!$O:$O)))</f>
        <v>34</v>
      </c>
      <c r="N35" s="67" t="str" cm="1">
        <f t="array" aca="1" ref="N35" ca="1">INDEX(Words!$O:$O,M35)</f>
        <v>dinosaur</v>
      </c>
      <c r="O35" s="68" t="str">
        <f ca="1">VLOOKUP(N35,Words!$A:$F,4,0)&amp;""</f>
        <v/>
      </c>
      <c r="P35" s="69" t="str">
        <f ca="1">VLOOKUP(N35,Words!$A:$F,3,0)&amp;""</f>
        <v/>
      </c>
      <c r="Q35" s="62"/>
      <c r="R35" s="56"/>
      <c r="S35" s="50">
        <f ca="1">VLOOKUP(N35,Words!$A:$F,2,0)</f>
        <v>4</v>
      </c>
      <c r="T35" s="73" t="str">
        <f t="shared" ca="1" si="26"/>
        <v>Dinosaur</v>
      </c>
      <c r="U35" s="22" t="str">
        <f t="shared" ca="1" si="27"/>
        <v/>
      </c>
      <c r="V35" s="44" t="str">
        <f t="shared" ca="1" si="28"/>
        <v/>
      </c>
      <c r="W35" s="57"/>
    </row>
    <row r="36" spans="1:23" ht="15.75" customHeight="1" thickBot="1">
      <c r="F36" s="70"/>
      <c r="G36" s="23"/>
      <c r="H36" s="74"/>
      <c r="I36" s="24"/>
      <c r="J36" s="42"/>
      <c r="K36" s="71"/>
      <c r="R36" s="70"/>
      <c r="S36" s="23"/>
      <c r="T36" s="74"/>
      <c r="U36" s="24"/>
      <c r="V36" s="42"/>
      <c r="W36" s="71"/>
    </row>
  </sheetData>
  <pageMargins left="0.25" right="0.25" top="0.75" bottom="0.75" header="0.3" footer="0.3"/>
  <pageSetup paperSize="9" scale="64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Words</vt:lpstr>
      <vt:lpstr>Card</vt:lpstr>
      <vt:lpstr>Deck</vt:lpstr>
      <vt:lpstr>Deck NoMacro</vt:lpstr>
      <vt:lpstr>card</vt:lpstr>
      <vt:lpstr>number_of_cards</vt:lpstr>
      <vt:lpstr>number_of_columns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Espasandin</dc:creator>
  <cp:lastModifiedBy>juan espasandin</cp:lastModifiedBy>
  <cp:lastPrinted>2020-07-19T18:24:37Z</cp:lastPrinted>
  <dcterms:created xsi:type="dcterms:W3CDTF">2020-07-09T19:40:04Z</dcterms:created>
  <dcterms:modified xsi:type="dcterms:W3CDTF">2020-07-19T18:24:40Z</dcterms:modified>
</cp:coreProperties>
</file>